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DMIN\Desktop\Data for Excel &amp; BI\Hospital\"/>
    </mc:Choice>
  </mc:AlternateContent>
  <xr:revisionPtr revIDLastSave="0" documentId="13_ncr:1_{AB7386B4-9016-43DA-97D4-9CDB93B85FBF}" xr6:coauthVersionLast="47" xr6:coauthVersionMax="47" xr10:uidLastSave="{00000000-0000-0000-0000-000000000000}"/>
  <bookViews>
    <workbookView xWindow="-108" yWindow="-108" windowWidth="23256" windowHeight="12456" activeTab="1" xr2:uid="{C061038A-DB17-4E47-8AF8-36A03381BAFB}"/>
  </bookViews>
  <sheets>
    <sheet name="Pivot Report" sheetId="1" r:id="rId1"/>
    <sheet name="Dashboard" sheetId="2" r:id="rId2"/>
    <sheet name="Daily ER No Of Patient" sheetId="3" r:id="rId3"/>
    <sheet name="Avg Daily Wait Time" sheetId="5" r:id="rId4"/>
    <sheet name="Avg Daily SAT Score"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8124c76-3f37-42b0-9bda-11bb122bd2b6" name="Hospital Emergency Room Data" connection="Query - Hospital Emergency Room Data"/>
          <x15:modelTable id="Calendar_table_3a5be0a1-7fd3-4a50-b35d-1b689fc910a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1" l="1"/>
  <c r="B54" i="1"/>
  <c r="C54" i="1"/>
  <c r="B53" i="1"/>
  <c r="C53"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712B5C-6AA3-47DB-A791-491A9B67DD5D}" name="Query - Calendar_table" description="Connection to the 'Calendar_table' query in the workbook." type="100" refreshedVersion="8" minRefreshableVersion="5">
    <extLst>
      <ext xmlns:x15="http://schemas.microsoft.com/office/spreadsheetml/2010/11/main" uri="{DE250136-89BD-433C-8126-D09CA5730AF9}">
        <x15:connection id="2eb343e2-1e8f-4181-8789-dbdc48dd97be"/>
      </ext>
    </extLst>
  </connection>
  <connection id="2" xr16:uid="{3ABA16A5-220B-4AD0-8EB9-55F60F0D04E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48168b3-2050-4a15-832d-fe0fe081d4f1"/>
      </ext>
    </extLst>
  </connection>
  <connection id="3" xr16:uid="{C7A318AC-51BA-4A66-B56C-BED826FEBE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<sst xmlns="http://schemas.openxmlformats.org/spreadsheetml/2006/main" count="148" uniqueCount="68">
  <si>
    <t>Distinct Count of Patient Id</t>
  </si>
  <si>
    <t>Average of Patient Waittime</t>
  </si>
  <si>
    <t>Average of Patient Satisfaction Score</t>
  </si>
  <si>
    <t>Count of Patient Admission Flag</t>
  </si>
  <si>
    <t>Row Labels</t>
  </si>
  <si>
    <t>Admitted</t>
  </si>
  <si>
    <t>Not Admitted</t>
  </si>
  <si>
    <t>Grand Total</t>
  </si>
  <si>
    <t>Count of Patient Gender</t>
  </si>
  <si>
    <t>Female</t>
  </si>
  <si>
    <t>Male</t>
  </si>
  <si>
    <t>Count of Age Group</t>
  </si>
  <si>
    <t>0-9</t>
  </si>
  <si>
    <t>10-19</t>
  </si>
  <si>
    <t>20-29</t>
  </si>
  <si>
    <t>30-39</t>
  </si>
  <si>
    <t>40-49</t>
  </si>
  <si>
    <t>50-59</t>
  </si>
  <si>
    <t>60-69</t>
  </si>
  <si>
    <t>70-79</t>
  </si>
  <si>
    <t>Delayed</t>
  </si>
  <si>
    <t>On Time</t>
  </si>
  <si>
    <t>Count of Wait Time</t>
  </si>
  <si>
    <t>2023</t>
  </si>
  <si>
    <t>Cardiology</t>
  </si>
  <si>
    <t>Gastroenterology</t>
  </si>
  <si>
    <t>General Practice</t>
  </si>
  <si>
    <t>Neurology</t>
  </si>
  <si>
    <t>None</t>
  </si>
  <si>
    <t>Orthopedics</t>
  </si>
  <si>
    <t>Physiotherapy</t>
  </si>
  <si>
    <t>Renal</t>
  </si>
  <si>
    <t>Count of Department Referral</t>
  </si>
  <si>
    <t>Count of Patient Admission Flag2</t>
  </si>
  <si>
    <t>Admission Status</t>
  </si>
  <si>
    <t>No. Of Patient</t>
  </si>
  <si>
    <t>% Status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</si>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</sst>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0" fontId="0" fillId="2" borderId="0" xfId="0" applyFill="1"/>
    <xf numFmtId="10" fontId="0" fillId="0" borderId="0" xfId="0" applyNumberFormat="1"/>
    <xf numFmtId="0" fontId="2" fillId="3"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cellXfs>
  <cellStyles count="2">
    <cellStyle name="Normal" xfId="0" builtinId="0"/>
    <cellStyle name="Percent" xfId="1" builtinId="5"/>
  </cellStyles>
  <dxfs count="22">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1" formatCode="0"/>
    </dxf>
    <dxf>
      <numFmt numFmtId="2" formatCode="0.00"/>
    </dxf>
    <dxf>
      <font>
        <b/>
        <color theme="1"/>
      </font>
      <border diagonalUp="0" diagonalDown="1">
        <left/>
        <right/>
        <top/>
        <bottom/>
        <diagonal style="thin">
          <color theme="4"/>
        </diagonal>
        <vertical/>
        <horizontal style="thin">
          <color theme="4"/>
        </horizontal>
      </border>
    </dxf>
    <dxf>
      <font>
        <color theme="1"/>
      </font>
      <fill>
        <patternFill>
          <bgColor theme="0"/>
        </patternFill>
      </fill>
      <border diagonalUp="0" diagonalDown="0">
        <left/>
        <right/>
        <top/>
        <bottom/>
        <vertical/>
        <horizontal style="hair">
          <color auto="1"/>
        </horizontal>
      </border>
    </dxf>
    <dxf>
      <border diagonalUp="0" diagonalDown="0">
        <left/>
        <right/>
        <top/>
        <bottom/>
        <vertical/>
        <horizontal/>
      </border>
    </dxf>
  </dxfs>
  <tableStyles count="2" defaultTableStyle="TableStyleMedium2" defaultPivotStyle="PivotStyleLight16">
    <tableStyle name="My Style" pivot="0" table="0" count="1" xr9:uid="{25106356-9967-4976-A904-FE8B8CCA66DA}">
      <tableStyleElement type="wholeTable" dxfId="21"/>
    </tableStyle>
    <tableStyle name="SlicerStyleLight1 2" pivot="0" table="0" count="10" xr9:uid="{129A9517-B577-4A94-8BA9-02373FF3CE78}">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C1CDEF-3362-4FCC-A38A-F9B1B36CD62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25C150-E9AD-45EF-85B6-4AD79357FF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E1C1D8-A810-443F-A9AB-A31F2DF5489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511ABF-2D21-4EEE-B770-A1A7F0763BC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D738F3-3498-48FF-B2B7-E1D52BFB162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1"/>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BD7288-A2C9-4895-AE41-3611F3D627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barChart>
        <c:barDir val="bar"/>
        <c:grouping val="clustered"/>
        <c:varyColors val="0"/>
        <c:ser>
          <c:idx val="0"/>
          <c:order val="0"/>
          <c:tx>
            <c:strRef>
              <c:f>'Pivot Report'!$C$15:$C$16</c:f>
              <c:strCache>
                <c:ptCount val="1"/>
                <c:pt idx="0">
                  <c:v>Count of Patient Admission Flag</c:v>
                </c:pt>
              </c:strCache>
            </c:strRef>
          </c:tx>
          <c:spPr>
            <a:solidFill>
              <a:schemeClr val="accent1"/>
            </a:solidFill>
            <a:ln>
              <a:noFill/>
            </a:ln>
            <a:effectLst/>
          </c:spPr>
          <c:invertIfNegative val="0"/>
          <c:dLbls>
            <c:dLbl>
              <c:idx val="0"/>
              <c:tx>
                <c:rich>
                  <a:bodyPr/>
                  <a:lstStyle/>
                  <a:p>
                    <a:fld id="{C1D738F3-3498-48FF-B2B7-E1D52BFB16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E1B-4A62-851F-82872AE3A3DA}"/>
                </c:ext>
              </c:extLst>
            </c:dLbl>
            <c:dLbl>
              <c:idx val="1"/>
              <c:tx>
                <c:rich>
                  <a:bodyPr/>
                  <a:lstStyle/>
                  <a:p>
                    <a:fld id="{EDBD7288-A2C9-4895-AE41-3611F3D627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E1B-4A62-851F-82872AE3A3DA}"/>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Report'!$C$15:$C$16</c:f>
              <c:strCache>
                <c:ptCount val="2"/>
                <c:pt idx="0">
                  <c:v>Admitted</c:v>
                </c:pt>
                <c:pt idx="1">
                  <c:v>Not Admitted</c:v>
                </c:pt>
              </c:strCache>
            </c:strRef>
          </c:cat>
          <c:val>
            <c:numRef>
              <c:f>'Pivot Report'!$C$15:$C$16</c:f>
              <c:numCache>
                <c:formatCode>0</c:formatCode>
                <c:ptCount val="2"/>
                <c:pt idx="0">
                  <c:v>229</c:v>
                </c:pt>
                <c:pt idx="1">
                  <c:v>251</c:v>
                </c:pt>
              </c:numCache>
            </c:numRef>
          </c:val>
          <c:extLst>
            <c:ext xmlns:c15="http://schemas.microsoft.com/office/drawing/2012/chart" uri="{02D57815-91ED-43cb-92C2-25804820EDAC}">
              <c15:datalabelsRange>
                <c15:f>'Pivot Report'!$C$15:$C$16</c15:f>
                <c15:dlblRangeCache>
                  <c:ptCount val="2"/>
                  <c:pt idx="0">
                    <c:v>47.71%</c:v>
                  </c:pt>
                  <c:pt idx="1">
                    <c:v>52.29%</c:v>
                  </c:pt>
                </c15:dlblRangeCache>
              </c15:datalabelsRange>
            </c:ext>
            <c:ext xmlns:c16="http://schemas.microsoft.com/office/drawing/2014/chart" uri="{C3380CC4-5D6E-409C-BE32-E72D297353CC}">
              <c16:uniqueId val="{00000002-2E1B-4A62-851F-82872AE3A3DA}"/>
            </c:ext>
          </c:extLst>
        </c:ser>
        <c:ser>
          <c:idx val="1"/>
          <c:order val="1"/>
          <c:tx>
            <c:strRef>
              <c:f>'Pivot Report'!$C$15:$C$16</c:f>
              <c:strCache>
                <c:ptCount val="1"/>
                <c:pt idx="0">
                  <c:v>Count of Patient Admission Flag2</c:v>
                </c:pt>
              </c:strCache>
            </c:strRef>
          </c:tx>
          <c:spPr>
            <a:solidFill>
              <a:schemeClr val="accent2"/>
            </a:solidFill>
            <a:ln>
              <a:noFill/>
            </a:ln>
            <a:effectLst/>
          </c:spPr>
          <c:invertIfNegative val="0"/>
          <c:cat>
            <c:strRef>
              <c:f>'Pivot Report'!$C$15:$C$16</c:f>
              <c:strCache>
                <c:ptCount val="2"/>
                <c:pt idx="0">
                  <c:v>Admitted</c:v>
                </c:pt>
                <c:pt idx="1">
                  <c:v>Not Admitted</c:v>
                </c:pt>
              </c:strCache>
            </c:strRef>
          </c:cat>
          <c:val>
            <c:numRef>
              <c:f>'Pivot Report'!$C$15:$C$16</c:f>
              <c:numCache>
                <c:formatCode>0.00%</c:formatCode>
                <c:ptCount val="2"/>
                <c:pt idx="0">
                  <c:v>0.47708333333333336</c:v>
                </c:pt>
                <c:pt idx="1">
                  <c:v>0.5229166666666667</c:v>
                </c:pt>
              </c:numCache>
            </c:numRef>
          </c:val>
          <c:extLst>
            <c:ext xmlns:c16="http://schemas.microsoft.com/office/drawing/2014/chart" uri="{C3380CC4-5D6E-409C-BE32-E72D297353CC}">
              <c16:uniqueId val="{00000003-2E1B-4A62-851F-82872AE3A3DA}"/>
            </c:ext>
          </c:extLst>
        </c:ser>
        <c:dLbls>
          <c:showLegendKey val="0"/>
          <c:showVal val="0"/>
          <c:showCatName val="0"/>
          <c:showSerName val="0"/>
          <c:showPercent val="0"/>
          <c:showBubbleSize val="0"/>
        </c:dLbls>
        <c:gapWidth val="182"/>
        <c:axId val="368724783"/>
        <c:axId val="236901055"/>
      </c:barChart>
      <c:catAx>
        <c:axId val="368724783"/>
        <c:scaling>
          <c:orientation val="minMax"/>
        </c:scaling>
        <c:delete val="1"/>
        <c:axPos val="l"/>
        <c:numFmt formatCode="General" sourceLinked="1"/>
        <c:majorTickMark val="none"/>
        <c:minorTickMark val="none"/>
        <c:tickLblPos val="nextTo"/>
        <c:crossAx val="236901055"/>
        <c:crosses val="autoZero"/>
        <c:auto val="1"/>
        <c:lblAlgn val="ctr"/>
        <c:lblOffset val="100"/>
        <c:noMultiLvlLbl val="0"/>
      </c:catAx>
      <c:valAx>
        <c:axId val="236901055"/>
        <c:scaling>
          <c:orientation val="minMax"/>
        </c:scaling>
        <c:delete val="1"/>
        <c:axPos val="b"/>
        <c:numFmt formatCode="0" sourceLinked="1"/>
        <c:majorTickMark val="none"/>
        <c:minorTickMark val="none"/>
        <c:tickLblPos val="nextTo"/>
        <c:crossAx val="36872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Report!PivotTable8</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8566827697262485E-2"/>
          <c:y val="0.15804597701149425"/>
          <c:w val="0.83322858185327731"/>
          <c:h val="0.46886822336863065"/>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Report'!$M$5:$M$36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9-DF39-43C7-9A4B-F0457FD6EE13}"/>
            </c:ext>
          </c:extLst>
        </c:ser>
        <c:dLbls>
          <c:showLegendKey val="0"/>
          <c:showVal val="0"/>
          <c:showCatName val="0"/>
          <c:showSerName val="0"/>
          <c:showPercent val="0"/>
          <c:showBubbleSize val="0"/>
        </c:dLbls>
        <c:axId val="68039360"/>
        <c:axId val="328152383"/>
      </c:areaChart>
      <c:catAx>
        <c:axId val="68039360"/>
        <c:scaling>
          <c:orientation val="minMax"/>
        </c:scaling>
        <c:delete val="1"/>
        <c:axPos val="b"/>
        <c:numFmt formatCode="General" sourceLinked="1"/>
        <c:majorTickMark val="out"/>
        <c:minorTickMark val="none"/>
        <c:tickLblPos val="nextTo"/>
        <c:crossAx val="328152383"/>
        <c:crosses val="autoZero"/>
        <c:auto val="1"/>
        <c:lblAlgn val="ctr"/>
        <c:lblOffset val="100"/>
        <c:noMultiLvlLbl val="0"/>
      </c:catAx>
      <c:valAx>
        <c:axId val="328152383"/>
        <c:scaling>
          <c:orientation val="minMax"/>
        </c:scaling>
        <c:delete val="1"/>
        <c:axPos val="l"/>
        <c:numFmt formatCode="General" sourceLinked="1"/>
        <c:majorTickMark val="none"/>
        <c:minorTickMark val="none"/>
        <c:tickLblPos val="nextTo"/>
        <c:crossAx val="68039360"/>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503875968992248E-2"/>
          <c:y val="7.7777777777777779E-2"/>
          <c:w val="0.98449612403100772"/>
          <c:h val="0.91111111111111109"/>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3-22F2-4493-A792-2FA7A9DA3820}"/>
            </c:ext>
          </c:extLst>
        </c:ser>
        <c:dLbls>
          <c:showLegendKey val="0"/>
          <c:showVal val="0"/>
          <c:showCatName val="0"/>
          <c:showSerName val="0"/>
          <c:showPercent val="0"/>
          <c:showBubbleSize val="0"/>
        </c:dLbls>
        <c:axId val="789451776"/>
        <c:axId val="534657664"/>
      </c:areaChart>
      <c:catAx>
        <c:axId val="789451776"/>
        <c:scaling>
          <c:orientation val="minMax"/>
        </c:scaling>
        <c:delete val="1"/>
        <c:axPos val="b"/>
        <c:numFmt formatCode="General" sourceLinked="1"/>
        <c:majorTickMark val="out"/>
        <c:minorTickMark val="none"/>
        <c:tickLblPos val="nextTo"/>
        <c:crossAx val="534657664"/>
        <c:crosses val="autoZero"/>
        <c:auto val="1"/>
        <c:lblAlgn val="ctr"/>
        <c:lblOffset val="100"/>
        <c:noMultiLvlLbl val="0"/>
      </c:catAx>
      <c:valAx>
        <c:axId val="534657664"/>
        <c:scaling>
          <c:orientation val="minMax"/>
        </c:scaling>
        <c:delete val="1"/>
        <c:axPos val="l"/>
        <c:numFmt formatCode="0.00" sourceLinked="1"/>
        <c:majorTickMark val="none"/>
        <c:minorTickMark val="none"/>
        <c:tickLblPos val="nextTo"/>
        <c:crossAx val="789451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96293836764379E-3"/>
          <c:y val="2.3602684910287854E-2"/>
          <c:w val="0.9916666666666667"/>
          <c:h val="0.89814814814814814"/>
        </c:manualLayout>
      </c:layout>
      <c:areaChart>
        <c:grouping val="standard"/>
        <c:varyColors val="0"/>
        <c:ser>
          <c:idx val="0"/>
          <c:order val="0"/>
          <c:tx>
            <c:strRef>
              <c:f>'Pivot Report'!$S$3</c:f>
              <c:strCache>
                <c:ptCount val="1"/>
                <c:pt idx="0">
                  <c:v>Total</c:v>
                </c:pt>
              </c:strCache>
            </c:strRef>
          </c:tx>
          <c:spPr>
            <a:solidFill>
              <a:schemeClr val="accent1"/>
            </a:solidFill>
            <a:ln w="25400">
              <a:noFill/>
            </a:ln>
            <a:effectLst/>
          </c:spPr>
          <c:cat>
            <c:strRef>
              <c:f>'Pivot Report'!$R$4:$R$34</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Report'!$S$4:$S$34</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3-1CA8-4FD4-A3F0-0D2AB54D22F1}"/>
            </c:ext>
          </c:extLst>
        </c:ser>
        <c:dLbls>
          <c:showLegendKey val="0"/>
          <c:showVal val="0"/>
          <c:showCatName val="0"/>
          <c:showSerName val="0"/>
          <c:showPercent val="0"/>
          <c:showBubbleSize val="0"/>
        </c:dLbls>
        <c:axId val="614748912"/>
        <c:axId val="328145663"/>
      </c:areaChart>
      <c:catAx>
        <c:axId val="614748912"/>
        <c:scaling>
          <c:orientation val="minMax"/>
        </c:scaling>
        <c:delete val="1"/>
        <c:axPos val="b"/>
        <c:numFmt formatCode="General" sourceLinked="1"/>
        <c:majorTickMark val="out"/>
        <c:minorTickMark val="none"/>
        <c:tickLblPos val="nextTo"/>
        <c:crossAx val="328145663"/>
        <c:crosses val="autoZero"/>
        <c:auto val="1"/>
        <c:lblAlgn val="ctr"/>
        <c:lblOffset val="100"/>
        <c:noMultiLvlLbl val="0"/>
      </c:catAx>
      <c:valAx>
        <c:axId val="328145663"/>
        <c:scaling>
          <c:orientation val="minMax"/>
        </c:scaling>
        <c:delete val="1"/>
        <c:axPos val="l"/>
        <c:numFmt formatCode="0.00" sourceLinked="1"/>
        <c:majorTickMark val="none"/>
        <c:minorTickMark val="none"/>
        <c:tickLblPos val="nextTo"/>
        <c:crossAx val="61474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89872947297514E-2"/>
          <c:y val="8.9801372484689432E-2"/>
          <c:w val="0.92962252079334617"/>
          <c:h val="0.74839035607274751"/>
        </c:manualLayout>
      </c:layout>
      <c:barChart>
        <c:barDir val="col"/>
        <c:grouping val="clustered"/>
        <c:varyColors val="0"/>
        <c:ser>
          <c:idx val="0"/>
          <c:order val="0"/>
          <c:tx>
            <c:strRef>
              <c:f>'Pivot Report'!$B$24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Report'!$A$25:$A$33</c:f>
              <c:strCache>
                <c:ptCount val="8"/>
                <c:pt idx="0">
                  <c:v>0-9</c:v>
                </c:pt>
                <c:pt idx="1">
                  <c:v>10-19</c:v>
                </c:pt>
                <c:pt idx="2">
                  <c:v>20-29</c:v>
                </c:pt>
                <c:pt idx="3">
                  <c:v>30-39</c:v>
                </c:pt>
                <c:pt idx="4">
                  <c:v>40-49</c:v>
                </c:pt>
                <c:pt idx="5">
                  <c:v>50-59</c:v>
                </c:pt>
                <c:pt idx="6">
                  <c:v>60-69</c:v>
                </c:pt>
                <c:pt idx="7">
                  <c:v>70-79</c:v>
                </c:pt>
              </c:strCache>
            </c:strRef>
          </c:cat>
          <c:val>
            <c:numRef>
              <c:f>'Pivot Report'!$B$25:$B$33</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3-D742-4EFA-B3E5-15E80A8EC94C}"/>
            </c:ext>
          </c:extLst>
        </c:ser>
        <c:dLbls>
          <c:showLegendKey val="0"/>
          <c:showVal val="0"/>
          <c:showCatName val="0"/>
          <c:showSerName val="0"/>
          <c:showPercent val="0"/>
          <c:showBubbleSize val="0"/>
        </c:dLbls>
        <c:gapWidth val="219"/>
        <c:overlap val="-27"/>
        <c:axId val="802050880"/>
        <c:axId val="698269312"/>
      </c:barChart>
      <c:catAx>
        <c:axId val="8020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69312"/>
        <c:crosses val="autoZero"/>
        <c:auto val="1"/>
        <c:lblAlgn val="ctr"/>
        <c:lblOffset val="100"/>
        <c:noMultiLvlLbl val="0"/>
      </c:catAx>
      <c:valAx>
        <c:axId val="698269312"/>
        <c:scaling>
          <c:orientation val="minMax"/>
        </c:scaling>
        <c:delete val="1"/>
        <c:axPos val="l"/>
        <c:numFmt formatCode="0" sourceLinked="1"/>
        <c:majorTickMark val="none"/>
        <c:minorTickMark val="none"/>
        <c:tickLblPos val="nextTo"/>
        <c:crossAx val="8020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219052375915696"/>
          <c:y val="0.1118202871699861"/>
          <c:w val="0.67243006723090093"/>
          <c:h val="0.82726593797485837"/>
        </c:manualLayout>
      </c:layout>
      <c:pieChart>
        <c:varyColors val="1"/>
        <c:ser>
          <c:idx val="0"/>
          <c:order val="0"/>
          <c:tx>
            <c:strRef>
              <c:f>'Pivot Report'!$B$35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642-4E3F-B416-FA5FFF72D55E}"/>
              </c:ext>
            </c:extLst>
          </c:dPt>
          <c:dPt>
            <c:idx val="1"/>
            <c:bubble3D val="0"/>
            <c:spPr>
              <a:solidFill>
                <a:schemeClr val="accent2"/>
              </a:solidFill>
              <a:ln>
                <a:noFill/>
              </a:ln>
              <a:effectLst/>
            </c:spPr>
            <c:extLst>
              <c:ext xmlns:c16="http://schemas.microsoft.com/office/drawing/2014/chart" uri="{C3380CC4-5D6E-409C-BE32-E72D297353CC}">
                <c16:uniqueId val="{00000003-E642-4E3F-B416-FA5FFF72D5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Report'!$A$36:$A$38</c:f>
              <c:strCache>
                <c:ptCount val="2"/>
                <c:pt idx="0">
                  <c:v>Delayed</c:v>
                </c:pt>
                <c:pt idx="1">
                  <c:v>On Time</c:v>
                </c:pt>
              </c:strCache>
            </c:strRef>
          </c:cat>
          <c:val>
            <c:numRef>
              <c:f>'Pivot Report'!$B$36:$B$38</c:f>
              <c:numCache>
                <c:formatCode>0</c:formatCode>
                <c:ptCount val="2"/>
                <c:pt idx="0">
                  <c:v>267</c:v>
                </c:pt>
                <c:pt idx="1">
                  <c:v>213</c:v>
                </c:pt>
              </c:numCache>
            </c:numRef>
          </c:val>
          <c:extLst>
            <c:ext xmlns:c16="http://schemas.microsoft.com/office/drawing/2014/chart" uri="{C3380CC4-5D6E-409C-BE32-E72D297353CC}">
              <c16:uniqueId val="{00000007-DED0-4DD3-A1D8-E396422487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19888745250127"/>
          <c:y val="3.5056755726047065E-2"/>
          <c:w val="0.53609239687285082"/>
          <c:h val="7.949690910346733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546456692913386"/>
          <c:y val="0.18514503868834575"/>
          <c:w val="0.67482309711286093"/>
          <c:h val="0.73032802717842082"/>
        </c:manualLayout>
      </c:layout>
      <c:doughnutChart>
        <c:varyColors val="1"/>
        <c:ser>
          <c:idx val="0"/>
          <c:order val="0"/>
          <c:tx>
            <c:strRef>
              <c:f>'Pivot Report'!$B$19</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C6F-4862-B471-2ABBB877EE3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C6F-4862-B471-2ABBB877EE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Report'!$A$20:$A$22</c:f>
              <c:strCache>
                <c:ptCount val="2"/>
                <c:pt idx="0">
                  <c:v>Female</c:v>
                </c:pt>
                <c:pt idx="1">
                  <c:v>Male</c:v>
                </c:pt>
              </c:strCache>
            </c:strRef>
          </c:cat>
          <c:val>
            <c:numRef>
              <c:f>'Pivot Report'!$B$20:$B$22</c:f>
              <c:numCache>
                <c:formatCode>0</c:formatCode>
                <c:ptCount val="2"/>
                <c:pt idx="0">
                  <c:v>261</c:v>
                </c:pt>
                <c:pt idx="1">
                  <c:v>219</c:v>
                </c:pt>
              </c:numCache>
            </c:numRef>
          </c:val>
          <c:extLst>
            <c:ext xmlns:c16="http://schemas.microsoft.com/office/drawing/2014/chart" uri="{C3380CC4-5D6E-409C-BE32-E72D297353CC}">
              <c16:uniqueId val="{00000007-1EBD-4BBF-A3B1-19CC664175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175832020997375"/>
          <c:y val="2.886002886002886E-2"/>
          <c:w val="0.51150992918338034"/>
          <c:h val="0.1022468782311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07799025121857"/>
          <c:y val="8.4325396825396831E-2"/>
          <c:w val="0.74039820022497183"/>
          <c:h val="0.83630952380952384"/>
        </c:manualLayout>
      </c:layout>
      <c:barChart>
        <c:barDir val="bar"/>
        <c:grouping val="clustered"/>
        <c:varyColors val="0"/>
        <c:ser>
          <c:idx val="0"/>
          <c:order val="0"/>
          <c:tx>
            <c:strRef>
              <c:f>'Pivot Report'!$B$40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Report'!$A$41:$A$49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Report'!$B$41:$B$49</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AE41-4B5E-B027-779F3C492875}"/>
            </c:ext>
          </c:extLst>
        </c:ser>
        <c:dLbls>
          <c:showLegendKey val="0"/>
          <c:showVal val="0"/>
          <c:showCatName val="0"/>
          <c:showSerName val="0"/>
          <c:showPercent val="0"/>
          <c:showBubbleSize val="0"/>
        </c:dLbls>
        <c:gapWidth val="185"/>
        <c:axId val="614757728"/>
        <c:axId val="698276032"/>
      </c:barChart>
      <c:catAx>
        <c:axId val="61475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6032"/>
        <c:crosses val="autoZero"/>
        <c:auto val="1"/>
        <c:lblAlgn val="ctr"/>
        <c:lblOffset val="100"/>
        <c:noMultiLvlLbl val="0"/>
      </c:catAx>
      <c:valAx>
        <c:axId val="698276032"/>
        <c:scaling>
          <c:orientation val="minMax"/>
        </c:scaling>
        <c:delete val="1"/>
        <c:axPos val="b"/>
        <c:numFmt formatCode="0" sourceLinked="1"/>
        <c:majorTickMark val="none"/>
        <c:minorTickMark val="none"/>
        <c:tickLblPos val="nextTo"/>
        <c:crossAx val="61475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Report!PivotTable8</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29559852138901E-2"/>
          <c:y val="0.15804597701149425"/>
          <c:w val="0.94004328647400748"/>
          <c:h val="0.55182450327193266"/>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Report'!$M$5:$M$36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8DD0-495A-8116-089D6D4503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039360"/>
        <c:axId val="328152383"/>
      </c:areaChart>
      <c:catAx>
        <c:axId val="68039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8152383"/>
        <c:crosses val="autoZero"/>
        <c:auto val="1"/>
        <c:lblAlgn val="ctr"/>
        <c:lblOffset val="100"/>
        <c:noMultiLvlLbl val="0"/>
      </c:catAx>
      <c:valAx>
        <c:axId val="328152383"/>
        <c:scaling>
          <c:orientation val="minMax"/>
        </c:scaling>
        <c:delete val="1"/>
        <c:axPos val="l"/>
        <c:numFmt formatCode="General" sourceLinked="1"/>
        <c:majorTickMark val="out"/>
        <c:minorTickMark val="none"/>
        <c:tickLblPos val="nextTo"/>
        <c:crossAx val="68039360"/>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Report!PivotTable10</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12837118186311E-2"/>
          <c:y val="0.14736842105263157"/>
          <c:w val="0.9345544952261402"/>
          <c:h val="0.72382898190357781"/>
        </c:manualLayout>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FCB9-4ECF-BD27-C2414ACF951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9451776"/>
        <c:axId val="534657664"/>
      </c:areaChart>
      <c:catAx>
        <c:axId val="7894517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4657664"/>
        <c:crosses val="autoZero"/>
        <c:auto val="1"/>
        <c:lblAlgn val="ctr"/>
        <c:lblOffset val="100"/>
        <c:noMultiLvlLbl val="0"/>
      </c:catAx>
      <c:valAx>
        <c:axId val="534657664"/>
        <c:scaling>
          <c:orientation val="minMax"/>
        </c:scaling>
        <c:delete val="1"/>
        <c:axPos val="l"/>
        <c:numFmt formatCode="0.00" sourceLinked="1"/>
        <c:majorTickMark val="out"/>
        <c:minorTickMark val="none"/>
        <c:tickLblPos val="nextTo"/>
        <c:crossAx val="789451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&amp; Dashboard Creation.xlsx]Pivot Report!PivotTable11</c:name>
    <c:fmtId val="2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Report'!$R$4:$R$34</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Report'!$S$4:$S$34</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24AF-45CF-A9B6-C7236247D51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4748912"/>
        <c:axId val="328145663"/>
      </c:areaChart>
      <c:catAx>
        <c:axId val="614748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8145663"/>
        <c:crosses val="autoZero"/>
        <c:auto val="1"/>
        <c:lblAlgn val="ctr"/>
        <c:lblOffset val="100"/>
        <c:noMultiLvlLbl val="0"/>
      </c:catAx>
      <c:valAx>
        <c:axId val="328145663"/>
        <c:scaling>
          <c:orientation val="minMax"/>
        </c:scaling>
        <c:delete val="1"/>
        <c:axPos val="l"/>
        <c:numFmt formatCode="0.00" sourceLinked="1"/>
        <c:majorTickMark val="out"/>
        <c:minorTickMark val="none"/>
        <c:tickLblPos val="nextTo"/>
        <c:crossAx val="61474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Daily SAT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 Daily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701040</xdr:colOff>
      <xdr:row>51</xdr:row>
      <xdr:rowOff>15240</xdr:rowOff>
    </xdr:from>
    <xdr:to>
      <xdr:col>3</xdr:col>
      <xdr:colOff>1203960</xdr:colOff>
      <xdr:row>54</xdr:row>
      <xdr:rowOff>106680</xdr:rowOff>
    </xdr:to>
    <xdr:graphicFrame macro="">
      <xdr:nvGraphicFramePr>
        <xdr:cNvPr id="3" name="Chart 2">
          <a:extLst>
            <a:ext uri="{FF2B5EF4-FFF2-40B4-BE49-F238E27FC236}">
              <a16:creationId xmlns:a16="http://schemas.microsoft.com/office/drawing/2014/main" id="{74B5CE3B-9D0C-4AA6-8E49-FE010DB20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60960</xdr:rowOff>
    </xdr:from>
    <xdr:to>
      <xdr:col>6</xdr:col>
      <xdr:colOff>586740</xdr:colOff>
      <xdr:row>4</xdr:row>
      <xdr:rowOff>167640</xdr:rowOff>
    </xdr:to>
    <xdr:sp macro="" textlink="">
      <xdr:nvSpPr>
        <xdr:cNvPr id="3" name="Rectangle: Rounded Corners 2">
          <a:extLst>
            <a:ext uri="{FF2B5EF4-FFF2-40B4-BE49-F238E27FC236}">
              <a16:creationId xmlns:a16="http://schemas.microsoft.com/office/drawing/2014/main" id="{B6B2CD98-958A-2C21-6C62-6600BF0D3F87}"/>
            </a:ext>
          </a:extLst>
        </xdr:cNvPr>
        <xdr:cNvSpPr/>
      </xdr:nvSpPr>
      <xdr:spPr>
        <a:xfrm>
          <a:off x="68580" y="60960"/>
          <a:ext cx="4175760" cy="838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ZZ</a:t>
          </a:r>
        </a:p>
      </xdr:txBody>
    </xdr:sp>
    <xdr:clientData/>
  </xdr:twoCellAnchor>
  <xdr:twoCellAnchor editAs="absolute">
    <xdr:from>
      <xdr:col>7</xdr:col>
      <xdr:colOff>7620</xdr:colOff>
      <xdr:row>0</xdr:row>
      <xdr:rowOff>60960</xdr:rowOff>
    </xdr:from>
    <xdr:to>
      <xdr:col>9</xdr:col>
      <xdr:colOff>38100</xdr:colOff>
      <xdr:row>4</xdr:row>
      <xdr:rowOff>175260</xdr:rowOff>
    </xdr:to>
    <xdr:sp macro="" textlink="">
      <xdr:nvSpPr>
        <xdr:cNvPr id="4" name="Rectangle: Rounded Corners 3">
          <a:extLst>
            <a:ext uri="{FF2B5EF4-FFF2-40B4-BE49-F238E27FC236}">
              <a16:creationId xmlns:a16="http://schemas.microsoft.com/office/drawing/2014/main" id="{565819E6-DCD5-0533-8FB3-C31A6323F28F}"/>
            </a:ext>
          </a:extLst>
        </xdr:cNvPr>
        <xdr:cNvSpPr/>
      </xdr:nvSpPr>
      <xdr:spPr>
        <a:xfrm>
          <a:off x="4274820" y="60960"/>
          <a:ext cx="1249680" cy="8458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53340</xdr:colOff>
      <xdr:row>5</xdr:row>
      <xdr:rowOff>22860</xdr:rowOff>
    </xdr:from>
    <xdr:to>
      <xdr:col>1</xdr:col>
      <xdr:colOff>472440</xdr:colOff>
      <xdr:row>25</xdr:row>
      <xdr:rowOff>137160</xdr:rowOff>
    </xdr:to>
    <xdr:sp macro="" textlink="">
      <xdr:nvSpPr>
        <xdr:cNvPr id="5" name="Rectangle: Rounded Corners 4">
          <a:extLst>
            <a:ext uri="{FF2B5EF4-FFF2-40B4-BE49-F238E27FC236}">
              <a16:creationId xmlns:a16="http://schemas.microsoft.com/office/drawing/2014/main" id="{671CD468-2265-4CFB-96D2-1F92C1D8F731}"/>
            </a:ext>
          </a:extLst>
        </xdr:cNvPr>
        <xdr:cNvSpPr/>
      </xdr:nvSpPr>
      <xdr:spPr>
        <a:xfrm>
          <a:off x="53340" y="937260"/>
          <a:ext cx="1028700" cy="3771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510540</xdr:colOff>
      <xdr:row>5</xdr:row>
      <xdr:rowOff>45720</xdr:rowOff>
    </xdr:from>
    <xdr:to>
      <xdr:col>4</xdr:col>
      <xdr:colOff>121920</xdr:colOff>
      <xdr:row>11</xdr:row>
      <xdr:rowOff>60960</xdr:rowOff>
    </xdr:to>
    <xdr:sp macro="" textlink="">
      <xdr:nvSpPr>
        <xdr:cNvPr id="6" name="Rectangle: Rounded Corners 5">
          <a:extLst>
            <a:ext uri="{FF2B5EF4-FFF2-40B4-BE49-F238E27FC236}">
              <a16:creationId xmlns:a16="http://schemas.microsoft.com/office/drawing/2014/main" id="{90520DF5-4394-4BFB-8995-B85FED9E48F9}"/>
            </a:ext>
          </a:extLst>
        </xdr:cNvPr>
        <xdr:cNvSpPr/>
      </xdr:nvSpPr>
      <xdr:spPr>
        <a:xfrm>
          <a:off x="1120140" y="960120"/>
          <a:ext cx="1440180" cy="1112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167640</xdr:colOff>
      <xdr:row>5</xdr:row>
      <xdr:rowOff>45720</xdr:rowOff>
    </xdr:from>
    <xdr:to>
      <xdr:col>6</xdr:col>
      <xdr:colOff>388620</xdr:colOff>
      <xdr:row>11</xdr:row>
      <xdr:rowOff>60960</xdr:rowOff>
    </xdr:to>
    <xdr:sp macro="" textlink="">
      <xdr:nvSpPr>
        <xdr:cNvPr id="7" name="Rectangle: Rounded Corners 6">
          <a:extLst>
            <a:ext uri="{FF2B5EF4-FFF2-40B4-BE49-F238E27FC236}">
              <a16:creationId xmlns:a16="http://schemas.microsoft.com/office/drawing/2014/main" id="{1C5C7ADE-50C9-CEDF-44D6-C58A23E9712C}"/>
            </a:ext>
          </a:extLst>
        </xdr:cNvPr>
        <xdr:cNvSpPr/>
      </xdr:nvSpPr>
      <xdr:spPr>
        <a:xfrm>
          <a:off x="2606040" y="960120"/>
          <a:ext cx="1440180" cy="1112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434340</xdr:colOff>
      <xdr:row>5</xdr:row>
      <xdr:rowOff>45720</xdr:rowOff>
    </xdr:from>
    <xdr:to>
      <xdr:col>9</xdr:col>
      <xdr:colOff>45720</xdr:colOff>
      <xdr:row>11</xdr:row>
      <xdr:rowOff>60960</xdr:rowOff>
    </xdr:to>
    <xdr:sp macro="" textlink="">
      <xdr:nvSpPr>
        <xdr:cNvPr id="8" name="Rectangle: Rounded Corners 7">
          <a:extLst>
            <a:ext uri="{FF2B5EF4-FFF2-40B4-BE49-F238E27FC236}">
              <a16:creationId xmlns:a16="http://schemas.microsoft.com/office/drawing/2014/main" id="{1653573E-3D71-1783-88B0-100A4C0EA2C9}"/>
            </a:ext>
          </a:extLst>
        </xdr:cNvPr>
        <xdr:cNvSpPr/>
      </xdr:nvSpPr>
      <xdr:spPr>
        <a:xfrm>
          <a:off x="4091940" y="960120"/>
          <a:ext cx="1440180" cy="1112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495300</xdr:colOff>
      <xdr:row>12</xdr:row>
      <xdr:rowOff>0</xdr:rowOff>
    </xdr:from>
    <xdr:to>
      <xdr:col>9</xdr:col>
      <xdr:colOff>45720</xdr:colOff>
      <xdr:row>15</xdr:row>
      <xdr:rowOff>137160</xdr:rowOff>
    </xdr:to>
    <xdr:sp macro="" textlink="">
      <xdr:nvSpPr>
        <xdr:cNvPr id="10" name="Rectangle: Rounded Corners 9">
          <a:extLst>
            <a:ext uri="{FF2B5EF4-FFF2-40B4-BE49-F238E27FC236}">
              <a16:creationId xmlns:a16="http://schemas.microsoft.com/office/drawing/2014/main" id="{B153ED60-A814-FC32-15C0-59414D3BB4BD}"/>
            </a:ext>
          </a:extLst>
        </xdr:cNvPr>
        <xdr:cNvSpPr/>
      </xdr:nvSpPr>
      <xdr:spPr>
        <a:xfrm>
          <a:off x="1104900" y="2194560"/>
          <a:ext cx="4427220" cy="685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495300</xdr:colOff>
      <xdr:row>17</xdr:row>
      <xdr:rowOff>175260</xdr:rowOff>
    </xdr:from>
    <xdr:to>
      <xdr:col>9</xdr:col>
      <xdr:colOff>30480</xdr:colOff>
      <xdr:row>25</xdr:row>
      <xdr:rowOff>129540</xdr:rowOff>
    </xdr:to>
    <xdr:sp macro="" textlink="">
      <xdr:nvSpPr>
        <xdr:cNvPr id="11" name="Rectangle: Rounded Corners 10">
          <a:extLst>
            <a:ext uri="{FF2B5EF4-FFF2-40B4-BE49-F238E27FC236}">
              <a16:creationId xmlns:a16="http://schemas.microsoft.com/office/drawing/2014/main" id="{8032EF3F-0A2C-F103-4B38-D1C0ECC4862A}"/>
            </a:ext>
          </a:extLst>
        </xdr:cNvPr>
        <xdr:cNvSpPr/>
      </xdr:nvSpPr>
      <xdr:spPr>
        <a:xfrm>
          <a:off x="1104900" y="3284220"/>
          <a:ext cx="4411980" cy="1417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68580</xdr:colOff>
      <xdr:row>0</xdr:row>
      <xdr:rowOff>60960</xdr:rowOff>
    </xdr:from>
    <xdr:to>
      <xdr:col>12</xdr:col>
      <xdr:colOff>259080</xdr:colOff>
      <xdr:row>11</xdr:row>
      <xdr:rowOff>45720</xdr:rowOff>
    </xdr:to>
    <xdr:sp macro="" textlink="">
      <xdr:nvSpPr>
        <xdr:cNvPr id="12" name="Rectangle: Rounded Corners 11">
          <a:extLst>
            <a:ext uri="{FF2B5EF4-FFF2-40B4-BE49-F238E27FC236}">
              <a16:creationId xmlns:a16="http://schemas.microsoft.com/office/drawing/2014/main" id="{37BF22D0-DA14-2840-172E-92A1FC210F86}"/>
            </a:ext>
          </a:extLst>
        </xdr:cNvPr>
        <xdr:cNvSpPr/>
      </xdr:nvSpPr>
      <xdr:spPr>
        <a:xfrm>
          <a:off x="5554980" y="60960"/>
          <a:ext cx="2019300" cy="1996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320040</xdr:colOff>
      <xdr:row>0</xdr:row>
      <xdr:rowOff>60960</xdr:rowOff>
    </xdr:from>
    <xdr:to>
      <xdr:col>15</xdr:col>
      <xdr:colOff>510540</xdr:colOff>
      <xdr:row>11</xdr:row>
      <xdr:rowOff>45720</xdr:rowOff>
    </xdr:to>
    <xdr:sp macro="" textlink="">
      <xdr:nvSpPr>
        <xdr:cNvPr id="13" name="Rectangle: Rounded Corners 12">
          <a:extLst>
            <a:ext uri="{FF2B5EF4-FFF2-40B4-BE49-F238E27FC236}">
              <a16:creationId xmlns:a16="http://schemas.microsoft.com/office/drawing/2014/main" id="{8793225D-D91C-A1C4-EDF4-2EBF162F5CD1}"/>
            </a:ext>
          </a:extLst>
        </xdr:cNvPr>
        <xdr:cNvSpPr/>
      </xdr:nvSpPr>
      <xdr:spPr>
        <a:xfrm>
          <a:off x="7635240" y="60960"/>
          <a:ext cx="2019300" cy="1996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68580</xdr:colOff>
      <xdr:row>11</xdr:row>
      <xdr:rowOff>121920</xdr:rowOff>
    </xdr:from>
    <xdr:to>
      <xdr:col>15</xdr:col>
      <xdr:colOff>502920</xdr:colOff>
      <xdr:row>25</xdr:row>
      <xdr:rowOff>160020</xdr:rowOff>
    </xdr:to>
    <xdr:sp macro="" textlink="">
      <xdr:nvSpPr>
        <xdr:cNvPr id="14" name="Rectangle: Rounded Corners 13">
          <a:extLst>
            <a:ext uri="{FF2B5EF4-FFF2-40B4-BE49-F238E27FC236}">
              <a16:creationId xmlns:a16="http://schemas.microsoft.com/office/drawing/2014/main" id="{B4B4BF5C-086D-D03C-C37E-F9E5A002D976}"/>
            </a:ext>
          </a:extLst>
        </xdr:cNvPr>
        <xdr:cNvSpPr/>
      </xdr:nvSpPr>
      <xdr:spPr>
        <a:xfrm>
          <a:off x="5554980" y="2133600"/>
          <a:ext cx="4091940" cy="25984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350520</xdr:colOff>
      <xdr:row>0</xdr:row>
      <xdr:rowOff>121920</xdr:rowOff>
    </xdr:from>
    <xdr:to>
      <xdr:col>6</xdr:col>
      <xdr:colOff>594360</xdr:colOff>
      <xdr:row>4</xdr:row>
      <xdr:rowOff>76200</xdr:rowOff>
    </xdr:to>
    <xdr:sp macro="" textlink="">
      <xdr:nvSpPr>
        <xdr:cNvPr id="15" name="TextBox 14">
          <a:extLst>
            <a:ext uri="{FF2B5EF4-FFF2-40B4-BE49-F238E27FC236}">
              <a16:creationId xmlns:a16="http://schemas.microsoft.com/office/drawing/2014/main" id="{2E3F71B0-9EE9-76DB-63EC-F14FCFB70E07}"/>
            </a:ext>
          </a:extLst>
        </xdr:cNvPr>
        <xdr:cNvSpPr txBox="1"/>
      </xdr:nvSpPr>
      <xdr:spPr>
        <a:xfrm>
          <a:off x="960120" y="121920"/>
          <a:ext cx="32918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Hospital Emergency</a:t>
          </a:r>
          <a:r>
            <a:rPr lang="en-US" sz="1600" baseline="0"/>
            <a:t> Room Dashboard</a:t>
          </a:r>
        </a:p>
        <a:p>
          <a:pPr algn="ctr"/>
          <a:r>
            <a:rPr lang="en-US" sz="1400" baseline="0"/>
            <a:t>Monthly Report</a:t>
          </a:r>
          <a:endParaRPr lang="en-US" sz="1400"/>
        </a:p>
      </xdr:txBody>
    </xdr:sp>
    <xdr:clientData/>
  </xdr:twoCellAnchor>
  <xdr:twoCellAnchor editAs="oneCell">
    <xdr:from>
      <xdr:col>0</xdr:col>
      <xdr:colOff>137344</xdr:colOff>
      <xdr:row>0</xdr:row>
      <xdr:rowOff>114300</xdr:rowOff>
    </xdr:from>
    <xdr:to>
      <xdr:col>1</xdr:col>
      <xdr:colOff>403859</xdr:colOff>
      <xdr:row>4</xdr:row>
      <xdr:rowOff>0</xdr:rowOff>
    </xdr:to>
    <xdr:pic>
      <xdr:nvPicPr>
        <xdr:cNvPr id="17" name="Picture 16">
          <a:extLst>
            <a:ext uri="{FF2B5EF4-FFF2-40B4-BE49-F238E27FC236}">
              <a16:creationId xmlns:a16="http://schemas.microsoft.com/office/drawing/2014/main" id="{DBCA90BD-0847-DD6C-1128-363E5896AFF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165" t="13764" r="21075" b="15483"/>
        <a:stretch>
          <a:fillRect/>
        </a:stretch>
      </xdr:blipFill>
      <xdr:spPr>
        <a:xfrm>
          <a:off x="137344" y="114300"/>
          <a:ext cx="876115" cy="617220"/>
        </a:xfrm>
        <a:prstGeom prst="rect">
          <a:avLst/>
        </a:prstGeom>
      </xdr:spPr>
    </xdr:pic>
    <xdr:clientData/>
  </xdr:twoCellAnchor>
  <xdr:twoCellAnchor>
    <xdr:from>
      <xdr:col>1</xdr:col>
      <xdr:colOff>533400</xdr:colOff>
      <xdr:row>6</xdr:row>
      <xdr:rowOff>0</xdr:rowOff>
    </xdr:from>
    <xdr:to>
      <xdr:col>4</xdr:col>
      <xdr:colOff>144780</xdr:colOff>
      <xdr:row>7</xdr:row>
      <xdr:rowOff>15240</xdr:rowOff>
    </xdr:to>
    <xdr:sp macro="" textlink="'Pivot Report'!A5">
      <xdr:nvSpPr>
        <xdr:cNvPr id="18" name="TextBox 17">
          <a:extLst>
            <a:ext uri="{FF2B5EF4-FFF2-40B4-BE49-F238E27FC236}">
              <a16:creationId xmlns:a16="http://schemas.microsoft.com/office/drawing/2014/main" id="{87CD8403-B523-014B-AFC5-7A74288F4ADB}"/>
            </a:ext>
          </a:extLst>
        </xdr:cNvPr>
        <xdr:cNvSpPr txBox="1"/>
      </xdr:nvSpPr>
      <xdr:spPr>
        <a:xfrm>
          <a:off x="1143000" y="1097280"/>
          <a:ext cx="14401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17AC5-6654-401C-A7FB-A2B1BFBB3970}" type="TxLink">
            <a:rPr lang="en-US" sz="1400" b="0" i="0" u="none" strike="noStrike">
              <a:solidFill>
                <a:srgbClr val="000000"/>
              </a:solidFill>
              <a:latin typeface="Aptos Narrow"/>
            </a:rPr>
            <a:pPr algn="ctr"/>
            <a:t>480</a:t>
          </a:fld>
          <a:endParaRPr lang="en-US" sz="1400"/>
        </a:p>
      </xdr:txBody>
    </xdr:sp>
    <xdr:clientData/>
  </xdr:twoCellAnchor>
  <xdr:twoCellAnchor>
    <xdr:from>
      <xdr:col>1</xdr:col>
      <xdr:colOff>518160</xdr:colOff>
      <xdr:row>6</xdr:row>
      <xdr:rowOff>152400</xdr:rowOff>
    </xdr:from>
    <xdr:to>
      <xdr:col>4</xdr:col>
      <xdr:colOff>129540</xdr:colOff>
      <xdr:row>8</xdr:row>
      <xdr:rowOff>15240</xdr:rowOff>
    </xdr:to>
    <xdr:sp macro="" textlink="">
      <xdr:nvSpPr>
        <xdr:cNvPr id="19" name="TextBox 18">
          <a:extLst>
            <a:ext uri="{FF2B5EF4-FFF2-40B4-BE49-F238E27FC236}">
              <a16:creationId xmlns:a16="http://schemas.microsoft.com/office/drawing/2014/main" id="{ACFCB13C-FCEB-82C5-2135-2A208AE084F9}"/>
            </a:ext>
          </a:extLst>
        </xdr:cNvPr>
        <xdr:cNvSpPr txBox="1"/>
      </xdr:nvSpPr>
      <xdr:spPr>
        <a:xfrm>
          <a:off x="1127760" y="1249680"/>
          <a:ext cx="1440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No. Of</a:t>
          </a:r>
          <a:r>
            <a:rPr lang="en-US" sz="1100" baseline="0"/>
            <a:t> Patients</a:t>
          </a:r>
          <a:endParaRPr lang="en-US" sz="1100"/>
        </a:p>
      </xdr:txBody>
    </xdr:sp>
    <xdr:clientData/>
  </xdr:twoCellAnchor>
  <xdr:twoCellAnchor>
    <xdr:from>
      <xdr:col>4</xdr:col>
      <xdr:colOff>121920</xdr:colOff>
      <xdr:row>5</xdr:row>
      <xdr:rowOff>160020</xdr:rowOff>
    </xdr:from>
    <xdr:to>
      <xdr:col>6</xdr:col>
      <xdr:colOff>342900</xdr:colOff>
      <xdr:row>7</xdr:row>
      <xdr:rowOff>0</xdr:rowOff>
    </xdr:to>
    <xdr:sp macro="" textlink="'Pivot Report'!A9">
      <xdr:nvSpPr>
        <xdr:cNvPr id="22" name="TextBox 21">
          <a:extLst>
            <a:ext uri="{FF2B5EF4-FFF2-40B4-BE49-F238E27FC236}">
              <a16:creationId xmlns:a16="http://schemas.microsoft.com/office/drawing/2014/main" id="{F92A4E3A-212A-9508-9AAC-D4F220FFF841}"/>
            </a:ext>
          </a:extLst>
        </xdr:cNvPr>
        <xdr:cNvSpPr txBox="1"/>
      </xdr:nvSpPr>
      <xdr:spPr>
        <a:xfrm>
          <a:off x="2560320" y="1074420"/>
          <a:ext cx="14401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4F2D70-AB27-4BDA-94AB-4CF85385586B}" type="TxLink">
            <a:rPr lang="en-US" sz="1400" b="0" i="0" u="none" strike="noStrike">
              <a:solidFill>
                <a:srgbClr val="000000"/>
              </a:solidFill>
              <a:latin typeface="Aptos Narrow"/>
            </a:rPr>
            <a:pPr algn="ctr"/>
            <a:t>34.43</a:t>
          </a:fld>
          <a:endParaRPr lang="en-US" sz="1800"/>
        </a:p>
      </xdr:txBody>
    </xdr:sp>
    <xdr:clientData/>
  </xdr:twoCellAnchor>
  <xdr:twoCellAnchor>
    <xdr:from>
      <xdr:col>4</xdr:col>
      <xdr:colOff>167640</xdr:colOff>
      <xdr:row>6</xdr:row>
      <xdr:rowOff>152400</xdr:rowOff>
    </xdr:from>
    <xdr:to>
      <xdr:col>6</xdr:col>
      <xdr:colOff>388620</xdr:colOff>
      <xdr:row>8</xdr:row>
      <xdr:rowOff>15240</xdr:rowOff>
    </xdr:to>
    <xdr:sp macro="" textlink="">
      <xdr:nvSpPr>
        <xdr:cNvPr id="24" name="TextBox 23">
          <a:extLst>
            <a:ext uri="{FF2B5EF4-FFF2-40B4-BE49-F238E27FC236}">
              <a16:creationId xmlns:a16="http://schemas.microsoft.com/office/drawing/2014/main" id="{703AA598-3201-DB9F-5CAA-83DE7BD7BD84}"/>
            </a:ext>
          </a:extLst>
        </xdr:cNvPr>
        <xdr:cNvSpPr txBox="1"/>
      </xdr:nvSpPr>
      <xdr:spPr>
        <a:xfrm>
          <a:off x="2606040" y="1249680"/>
          <a:ext cx="1440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a:t>
          </a:r>
          <a:r>
            <a:rPr lang="en-US" sz="1100" baseline="0"/>
            <a:t> Wait Time</a:t>
          </a:r>
          <a:endParaRPr lang="en-US" sz="1100"/>
        </a:p>
      </xdr:txBody>
    </xdr:sp>
    <xdr:clientData/>
  </xdr:twoCellAnchor>
  <xdr:twoCellAnchor>
    <xdr:from>
      <xdr:col>6</xdr:col>
      <xdr:colOff>441960</xdr:colOff>
      <xdr:row>6</xdr:row>
      <xdr:rowOff>160020</xdr:rowOff>
    </xdr:from>
    <xdr:to>
      <xdr:col>9</xdr:col>
      <xdr:colOff>53340</xdr:colOff>
      <xdr:row>8</xdr:row>
      <xdr:rowOff>22860</xdr:rowOff>
    </xdr:to>
    <xdr:sp macro="" textlink="">
      <xdr:nvSpPr>
        <xdr:cNvPr id="25" name="TextBox 24">
          <a:extLst>
            <a:ext uri="{FF2B5EF4-FFF2-40B4-BE49-F238E27FC236}">
              <a16:creationId xmlns:a16="http://schemas.microsoft.com/office/drawing/2014/main" id="{649131E4-27CD-6FA7-4CAD-A884AAC4F07C}"/>
            </a:ext>
          </a:extLst>
        </xdr:cNvPr>
        <xdr:cNvSpPr txBox="1"/>
      </xdr:nvSpPr>
      <xdr:spPr>
        <a:xfrm>
          <a:off x="4099560" y="1257300"/>
          <a:ext cx="1440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t>Avg. Patient SAT Score</a:t>
          </a:r>
          <a:endParaRPr lang="en-US" sz="1100"/>
        </a:p>
      </xdr:txBody>
    </xdr:sp>
    <xdr:clientData/>
  </xdr:twoCellAnchor>
  <xdr:twoCellAnchor>
    <xdr:from>
      <xdr:col>6</xdr:col>
      <xdr:colOff>419100</xdr:colOff>
      <xdr:row>6</xdr:row>
      <xdr:rowOff>0</xdr:rowOff>
    </xdr:from>
    <xdr:to>
      <xdr:col>9</xdr:col>
      <xdr:colOff>30480</xdr:colOff>
      <xdr:row>7</xdr:row>
      <xdr:rowOff>0</xdr:rowOff>
    </xdr:to>
    <xdr:sp macro="" textlink="'Pivot Report'!A12">
      <xdr:nvSpPr>
        <xdr:cNvPr id="26" name="TextBox 25">
          <a:extLst>
            <a:ext uri="{FF2B5EF4-FFF2-40B4-BE49-F238E27FC236}">
              <a16:creationId xmlns:a16="http://schemas.microsoft.com/office/drawing/2014/main" id="{9D6C9741-CECB-1692-E437-AA04F40B40B6}"/>
            </a:ext>
          </a:extLst>
        </xdr:cNvPr>
        <xdr:cNvSpPr txBox="1"/>
      </xdr:nvSpPr>
      <xdr:spPr>
        <a:xfrm>
          <a:off x="4076700" y="1097280"/>
          <a:ext cx="14401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85B22D-9BA7-416B-A7E8-1E701201649E}" type="TxLink">
            <a:rPr lang="en-US" sz="1400" b="0" i="0" u="none" strike="noStrike">
              <a:solidFill>
                <a:srgbClr val="000000"/>
              </a:solidFill>
              <a:latin typeface="Aptos Narrow"/>
            </a:rPr>
            <a:pPr algn="ctr"/>
            <a:t>5.16</a:t>
          </a:fld>
          <a:endParaRPr lang="en-US" sz="1800"/>
        </a:p>
      </xdr:txBody>
    </xdr:sp>
    <xdr:clientData/>
  </xdr:twoCellAnchor>
  <xdr:twoCellAnchor editAs="oneCell">
    <xdr:from>
      <xdr:col>3</xdr:col>
      <xdr:colOff>320040</xdr:colOff>
      <xdr:row>5</xdr:row>
      <xdr:rowOff>140048</xdr:rowOff>
    </xdr:from>
    <xdr:to>
      <xdr:col>3</xdr:col>
      <xdr:colOff>522601</xdr:colOff>
      <xdr:row>6</xdr:row>
      <xdr:rowOff>173699</xdr:rowOff>
    </xdr:to>
    <xdr:pic>
      <xdr:nvPicPr>
        <xdr:cNvPr id="28" name="Graphic 27" descr="User with solid fill">
          <a:extLst>
            <a:ext uri="{FF2B5EF4-FFF2-40B4-BE49-F238E27FC236}">
              <a16:creationId xmlns:a16="http://schemas.microsoft.com/office/drawing/2014/main" id="{50B844A0-7BCC-B444-E6E5-57F85A8A8720}"/>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l="13333" t="10833" r="14165" b="11667"/>
        <a:stretch>
          <a:fillRect/>
        </a:stretch>
      </xdr:blipFill>
      <xdr:spPr>
        <a:xfrm>
          <a:off x="2148840" y="1054448"/>
          <a:ext cx="202561" cy="216531"/>
        </a:xfrm>
        <a:prstGeom prst="rect">
          <a:avLst/>
        </a:prstGeom>
      </xdr:spPr>
    </xdr:pic>
    <xdr:clientData/>
  </xdr:twoCellAnchor>
  <xdr:twoCellAnchor editAs="oneCell">
    <xdr:from>
      <xdr:col>5</xdr:col>
      <xdr:colOff>516011</xdr:colOff>
      <xdr:row>5</xdr:row>
      <xdr:rowOff>72967</xdr:rowOff>
    </xdr:from>
    <xdr:to>
      <xdr:col>6</xdr:col>
      <xdr:colOff>168229</xdr:colOff>
      <xdr:row>6</xdr:row>
      <xdr:rowOff>176709</xdr:rowOff>
    </xdr:to>
    <xdr:pic>
      <xdr:nvPicPr>
        <xdr:cNvPr id="30" name="Graphic 29" descr="Stopwatch with solid fill">
          <a:extLst>
            <a:ext uri="{FF2B5EF4-FFF2-40B4-BE49-F238E27FC236}">
              <a16:creationId xmlns:a16="http://schemas.microsoft.com/office/drawing/2014/main" id="{E300EE92-88F4-BD02-B455-51AB0744B9AC}"/>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l="10001" t="5833" r="10832" b="7500"/>
        <a:stretch>
          <a:fillRect/>
        </a:stretch>
      </xdr:blipFill>
      <xdr:spPr>
        <a:xfrm>
          <a:off x="3564011" y="987367"/>
          <a:ext cx="261818" cy="286622"/>
        </a:xfrm>
        <a:prstGeom prst="rect">
          <a:avLst/>
        </a:prstGeom>
      </xdr:spPr>
    </xdr:pic>
    <xdr:clientData/>
  </xdr:twoCellAnchor>
  <xdr:twoCellAnchor editAs="oneCell">
    <xdr:from>
      <xdr:col>8</xdr:col>
      <xdr:colOff>129542</xdr:colOff>
      <xdr:row>5</xdr:row>
      <xdr:rowOff>67030</xdr:rowOff>
    </xdr:from>
    <xdr:to>
      <xdr:col>8</xdr:col>
      <xdr:colOff>427647</xdr:colOff>
      <xdr:row>6</xdr:row>
      <xdr:rowOff>172150</xdr:rowOff>
    </xdr:to>
    <xdr:pic>
      <xdr:nvPicPr>
        <xdr:cNvPr id="32" name="Graphic 31" descr="Customer review with solid fill">
          <a:extLst>
            <a:ext uri="{FF2B5EF4-FFF2-40B4-BE49-F238E27FC236}">
              <a16:creationId xmlns:a16="http://schemas.microsoft.com/office/drawing/2014/main" id="{18295486-D53B-E44B-05CA-769863879A0E}"/>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r="1666" b="5000"/>
        <a:stretch>
          <a:fillRect/>
        </a:stretch>
      </xdr:blipFill>
      <xdr:spPr>
        <a:xfrm>
          <a:off x="5006342" y="981430"/>
          <a:ext cx="298105" cy="288000"/>
        </a:xfrm>
        <a:prstGeom prst="rect">
          <a:avLst/>
        </a:prstGeom>
      </xdr:spPr>
    </xdr:pic>
    <xdr:clientData/>
  </xdr:twoCellAnchor>
  <xdr:twoCellAnchor editAs="oneCell">
    <xdr:from>
      <xdr:col>0</xdr:col>
      <xdr:colOff>106680</xdr:colOff>
      <xdr:row>5</xdr:row>
      <xdr:rowOff>114300</xdr:rowOff>
    </xdr:from>
    <xdr:to>
      <xdr:col>1</xdr:col>
      <xdr:colOff>419100</xdr:colOff>
      <xdr:row>24</xdr:row>
      <xdr:rowOff>167640</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21533526-5F39-48B8-9544-9303EA0F949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6680" y="1028700"/>
              <a:ext cx="922020" cy="3528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358140</xdr:colOff>
      <xdr:row>7</xdr:row>
      <xdr:rowOff>129540</xdr:rowOff>
    </xdr:from>
    <xdr:to>
      <xdr:col>4</xdr:col>
      <xdr:colOff>266700</xdr:colOff>
      <xdr:row>12</xdr:row>
      <xdr:rowOff>99060</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FF893607-7297-433A-B2F3-8CF6FB1FF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137160</xdr:colOff>
      <xdr:row>8</xdr:row>
      <xdr:rowOff>106680</xdr:rowOff>
    </xdr:from>
    <xdr:to>
      <xdr:col>6</xdr:col>
      <xdr:colOff>381000</xdr:colOff>
      <xdr:row>10</xdr:row>
      <xdr:rowOff>129540</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7745CA28-388F-4B74-8F77-7E47AB932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434340</xdr:colOff>
      <xdr:row>8</xdr:row>
      <xdr:rowOff>53340</xdr:rowOff>
    </xdr:from>
    <xdr:to>
      <xdr:col>9</xdr:col>
      <xdr:colOff>45720</xdr:colOff>
      <xdr:row>10</xdr:row>
      <xdr:rowOff>129540</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95AFC527-3127-455C-AB2C-412945AC3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495300</xdr:colOff>
      <xdr:row>15</xdr:row>
      <xdr:rowOff>175260</xdr:rowOff>
    </xdr:from>
    <xdr:to>
      <xdr:col>9</xdr:col>
      <xdr:colOff>45720</xdr:colOff>
      <xdr:row>25</xdr:row>
      <xdr:rowOff>160020</xdr:rowOff>
    </xdr:to>
    <xdr:sp macro="" textlink="">
      <xdr:nvSpPr>
        <xdr:cNvPr id="38" name="Rectangle: Rounded Corners 37">
          <a:extLst>
            <a:ext uri="{FF2B5EF4-FFF2-40B4-BE49-F238E27FC236}">
              <a16:creationId xmlns:a16="http://schemas.microsoft.com/office/drawing/2014/main" id="{15757B25-4C6B-BAC3-826A-A1EDF816C613}"/>
            </a:ext>
          </a:extLst>
        </xdr:cNvPr>
        <xdr:cNvSpPr/>
      </xdr:nvSpPr>
      <xdr:spPr>
        <a:xfrm>
          <a:off x="1104900" y="2918460"/>
          <a:ext cx="4427220" cy="1813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601980</xdr:colOff>
      <xdr:row>16</xdr:row>
      <xdr:rowOff>38100</xdr:rowOff>
    </xdr:from>
    <xdr:to>
      <xdr:col>9</xdr:col>
      <xdr:colOff>30480</xdr:colOff>
      <xdr:row>24</xdr:row>
      <xdr:rowOff>38100</xdr:rowOff>
    </xdr:to>
    <xdr:graphicFrame macro="">
      <xdr:nvGraphicFramePr>
        <xdr:cNvPr id="41" name="Chart 40">
          <a:extLst>
            <a:ext uri="{FF2B5EF4-FFF2-40B4-BE49-F238E27FC236}">
              <a16:creationId xmlns:a16="http://schemas.microsoft.com/office/drawing/2014/main" id="{A6CD1215-8527-4CA8-872C-DC40F69B9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419100</xdr:colOff>
      <xdr:row>24</xdr:row>
      <xdr:rowOff>137160</xdr:rowOff>
    </xdr:from>
    <xdr:to>
      <xdr:col>7</xdr:col>
      <xdr:colOff>121920</xdr:colOff>
      <xdr:row>25</xdr:row>
      <xdr:rowOff>144780</xdr:rowOff>
    </xdr:to>
    <xdr:sp macro="" textlink="">
      <xdr:nvSpPr>
        <xdr:cNvPr id="42" name="TextBox 41">
          <a:extLst>
            <a:ext uri="{FF2B5EF4-FFF2-40B4-BE49-F238E27FC236}">
              <a16:creationId xmlns:a16="http://schemas.microsoft.com/office/drawing/2014/main" id="{42393613-6DEA-43E7-9144-2A3F079DCF97}"/>
            </a:ext>
          </a:extLst>
        </xdr:cNvPr>
        <xdr:cNvSpPr txBox="1"/>
      </xdr:nvSpPr>
      <xdr:spPr>
        <a:xfrm>
          <a:off x="2247900" y="4526280"/>
          <a:ext cx="21412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Number of Patients by Age Group</a:t>
          </a:r>
          <a:endParaRPr lang="en-US" sz="1100"/>
        </a:p>
      </xdr:txBody>
    </xdr:sp>
    <xdr:clientData/>
  </xdr:twoCellAnchor>
  <xdr:twoCellAnchor>
    <xdr:from>
      <xdr:col>9</xdr:col>
      <xdr:colOff>114300</xdr:colOff>
      <xdr:row>0</xdr:row>
      <xdr:rowOff>38100</xdr:rowOff>
    </xdr:from>
    <xdr:to>
      <xdr:col>12</xdr:col>
      <xdr:colOff>327660</xdr:colOff>
      <xdr:row>9</xdr:row>
      <xdr:rowOff>160020</xdr:rowOff>
    </xdr:to>
    <xdr:graphicFrame macro="">
      <xdr:nvGraphicFramePr>
        <xdr:cNvPr id="43" name="Chart 42">
          <a:extLst>
            <a:ext uri="{FF2B5EF4-FFF2-40B4-BE49-F238E27FC236}">
              <a16:creationId xmlns:a16="http://schemas.microsoft.com/office/drawing/2014/main" id="{28ECF441-5301-4C7A-97AA-A98639666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426720</xdr:colOff>
      <xdr:row>9</xdr:row>
      <xdr:rowOff>91440</xdr:rowOff>
    </xdr:from>
    <xdr:to>
      <xdr:col>12</xdr:col>
      <xdr:colOff>541020</xdr:colOff>
      <xdr:row>10</xdr:row>
      <xdr:rowOff>167640</xdr:rowOff>
    </xdr:to>
    <xdr:sp macro="" textlink="">
      <xdr:nvSpPr>
        <xdr:cNvPr id="44" name="TextBox 43">
          <a:extLst>
            <a:ext uri="{FF2B5EF4-FFF2-40B4-BE49-F238E27FC236}">
              <a16:creationId xmlns:a16="http://schemas.microsoft.com/office/drawing/2014/main" id="{1A47B71B-1294-6ABB-30FC-C9D6DB4B4B89}"/>
            </a:ext>
          </a:extLst>
        </xdr:cNvPr>
        <xdr:cNvSpPr txBox="1"/>
      </xdr:nvSpPr>
      <xdr:spPr>
        <a:xfrm>
          <a:off x="5303520" y="1737360"/>
          <a:ext cx="2552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Patient Wait Time Status</a:t>
          </a:r>
          <a:endParaRPr lang="en-US" sz="1100"/>
        </a:p>
      </xdr:txBody>
    </xdr:sp>
    <xdr:clientData/>
  </xdr:twoCellAnchor>
  <xdr:twoCellAnchor>
    <xdr:from>
      <xdr:col>12</xdr:col>
      <xdr:colOff>350520</xdr:colOff>
      <xdr:row>0</xdr:row>
      <xdr:rowOff>0</xdr:rowOff>
    </xdr:from>
    <xdr:to>
      <xdr:col>15</xdr:col>
      <xdr:colOff>426720</xdr:colOff>
      <xdr:row>9</xdr:row>
      <xdr:rowOff>114300</xdr:rowOff>
    </xdr:to>
    <xdr:graphicFrame macro="">
      <xdr:nvGraphicFramePr>
        <xdr:cNvPr id="45" name="Chart 44">
          <a:extLst>
            <a:ext uri="{FF2B5EF4-FFF2-40B4-BE49-F238E27FC236}">
              <a16:creationId xmlns:a16="http://schemas.microsoft.com/office/drawing/2014/main" id="{3061DCB4-4698-43AE-AB8F-9426B8EEE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601980</xdr:colOff>
      <xdr:row>9</xdr:row>
      <xdr:rowOff>76200</xdr:rowOff>
    </xdr:from>
    <xdr:to>
      <xdr:col>15</xdr:col>
      <xdr:colOff>281940</xdr:colOff>
      <xdr:row>10</xdr:row>
      <xdr:rowOff>121920</xdr:rowOff>
    </xdr:to>
    <xdr:sp macro="" textlink="">
      <xdr:nvSpPr>
        <xdr:cNvPr id="46" name="TextBox 45">
          <a:extLst>
            <a:ext uri="{FF2B5EF4-FFF2-40B4-BE49-F238E27FC236}">
              <a16:creationId xmlns:a16="http://schemas.microsoft.com/office/drawing/2014/main" id="{BC67D185-296E-0210-A423-9CC3EADEFD86}"/>
            </a:ext>
          </a:extLst>
        </xdr:cNvPr>
        <xdr:cNvSpPr txBox="1"/>
      </xdr:nvSpPr>
      <xdr:spPr>
        <a:xfrm>
          <a:off x="7917180" y="1722120"/>
          <a:ext cx="15087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t>Gender - Wise Analysis</a:t>
          </a:r>
          <a:endParaRPr lang="en-US" sz="1100"/>
        </a:p>
      </xdr:txBody>
    </xdr:sp>
    <xdr:clientData/>
  </xdr:twoCellAnchor>
  <xdr:twoCellAnchor>
    <xdr:from>
      <xdr:col>9</xdr:col>
      <xdr:colOff>68580</xdr:colOff>
      <xdr:row>11</xdr:row>
      <xdr:rowOff>121920</xdr:rowOff>
    </xdr:from>
    <xdr:to>
      <xdr:col>15</xdr:col>
      <xdr:colOff>411480</xdr:colOff>
      <xdr:row>25</xdr:row>
      <xdr:rowOff>121920</xdr:rowOff>
    </xdr:to>
    <xdr:graphicFrame macro="">
      <xdr:nvGraphicFramePr>
        <xdr:cNvPr id="47" name="Chart 46">
          <a:extLst>
            <a:ext uri="{FF2B5EF4-FFF2-40B4-BE49-F238E27FC236}">
              <a16:creationId xmlns:a16="http://schemas.microsoft.com/office/drawing/2014/main" id="{4C78EB8A-8582-4BEB-962F-51B8E9BE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358140</xdr:colOff>
      <xdr:row>24</xdr:row>
      <xdr:rowOff>137160</xdr:rowOff>
    </xdr:from>
    <xdr:to>
      <xdr:col>14</xdr:col>
      <xdr:colOff>304800</xdr:colOff>
      <xdr:row>25</xdr:row>
      <xdr:rowOff>121920</xdr:rowOff>
    </xdr:to>
    <xdr:sp macro="" textlink="">
      <xdr:nvSpPr>
        <xdr:cNvPr id="48" name="TextBox 47">
          <a:extLst>
            <a:ext uri="{FF2B5EF4-FFF2-40B4-BE49-F238E27FC236}">
              <a16:creationId xmlns:a16="http://schemas.microsoft.com/office/drawing/2014/main" id="{96AD1469-FC38-48DB-A902-5B6F9ED5D31D}"/>
            </a:ext>
          </a:extLst>
        </xdr:cNvPr>
        <xdr:cNvSpPr txBox="1"/>
      </xdr:nvSpPr>
      <xdr:spPr>
        <a:xfrm>
          <a:off x="6454140" y="4526280"/>
          <a:ext cx="23850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Patient Referrals by Department</a:t>
          </a:r>
          <a:endParaRPr lang="en-US" sz="1100"/>
        </a:p>
      </xdr:txBody>
    </xdr:sp>
    <xdr:clientData/>
  </xdr:twoCellAnchor>
  <xdr:twoCellAnchor editAs="oneCell">
    <xdr:from>
      <xdr:col>7</xdr:col>
      <xdr:colOff>99060</xdr:colOff>
      <xdr:row>0</xdr:row>
      <xdr:rowOff>175260</xdr:rowOff>
    </xdr:from>
    <xdr:to>
      <xdr:col>8</xdr:col>
      <xdr:colOff>569460</xdr:colOff>
      <xdr:row>4</xdr:row>
      <xdr:rowOff>127740</xdr:rowOff>
    </xdr:to>
    <mc:AlternateContent xmlns:mc="http://schemas.openxmlformats.org/markup-compatibility/2006" xmlns:a14="http://schemas.microsoft.com/office/drawing/2010/main">
      <mc:Choice Requires="a14">
        <xdr:graphicFrame macro="">
          <xdr:nvGraphicFramePr>
            <xdr:cNvPr id="49" name="Date (Year)">
              <a:extLst>
                <a:ext uri="{FF2B5EF4-FFF2-40B4-BE49-F238E27FC236}">
                  <a16:creationId xmlns:a16="http://schemas.microsoft.com/office/drawing/2014/main" id="{E8A4E38B-56AA-4577-819C-C2D73501245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366260" y="175260"/>
              <a:ext cx="1080000" cy="6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152400</xdr:colOff>
          <xdr:row>12</xdr:row>
          <xdr:rowOff>53340</xdr:rowOff>
        </xdr:from>
        <xdr:to>
          <xdr:col>8</xdr:col>
          <xdr:colOff>434340</xdr:colOff>
          <xdr:row>15</xdr:row>
          <xdr:rowOff>60960</xdr:rowOff>
        </xdr:to>
        <xdr:pic>
          <xdr:nvPicPr>
            <xdr:cNvPr id="21" name="Picture 20">
              <a:extLst>
                <a:ext uri="{FF2B5EF4-FFF2-40B4-BE49-F238E27FC236}">
                  <a16:creationId xmlns:a16="http://schemas.microsoft.com/office/drawing/2014/main" id="{DDE9C790-4E08-B086-0391-A0F8C07E8C56}"/>
                </a:ext>
              </a:extLst>
            </xdr:cNvPr>
            <xdr:cNvPicPr>
              <a:picLocks noChangeAspect="1" noChangeArrowheads="1"/>
              <a:extLst>
                <a:ext uri="{84589F7E-364E-4C9E-8A38-B11213B215E9}">
                  <a14:cameraTool cellRange="'Pivot Report'!$A$52:$D$54" spid="_x0000_s2063"/>
                </a:ext>
              </a:extLst>
            </xdr:cNvPicPr>
          </xdr:nvPicPr>
          <xdr:blipFill>
            <a:blip xmlns:r="http://schemas.openxmlformats.org/officeDocument/2006/relationships" r:embed="rId18"/>
            <a:srcRect/>
            <a:stretch>
              <a:fillRect/>
            </a:stretch>
          </xdr:blipFill>
          <xdr:spPr bwMode="auto">
            <a:xfrm>
              <a:off x="1371600" y="2247900"/>
              <a:ext cx="3939540" cy="5562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76200</xdr:rowOff>
    </xdr:from>
    <xdr:to>
      <xdr:col>11</xdr:col>
      <xdr:colOff>601980</xdr:colOff>
      <xdr:row>18</xdr:row>
      <xdr:rowOff>152400</xdr:rowOff>
    </xdr:to>
    <xdr:graphicFrame macro="">
      <xdr:nvGraphicFramePr>
        <xdr:cNvPr id="2" name="Chart 1">
          <a:extLst>
            <a:ext uri="{FF2B5EF4-FFF2-40B4-BE49-F238E27FC236}">
              <a16:creationId xmlns:a16="http://schemas.microsoft.com/office/drawing/2014/main" id="{AF7B2F3C-4411-4317-AED2-09F40423B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259080</xdr:colOff>
      <xdr:row>1</xdr:row>
      <xdr:rowOff>30480</xdr:rowOff>
    </xdr:from>
    <xdr:to>
      <xdr:col>1</xdr:col>
      <xdr:colOff>106680</xdr:colOff>
      <xdr:row>3</xdr:row>
      <xdr:rowOff>121920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BF9D763-2418-1D1F-6A7E-8E62C375E5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080" y="213360"/>
          <a:ext cx="457200" cy="45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1</xdr:row>
      <xdr:rowOff>15240</xdr:rowOff>
    </xdr:from>
    <xdr:to>
      <xdr:col>13</xdr:col>
      <xdr:colOff>510540</xdr:colOff>
      <xdr:row>20</xdr:row>
      <xdr:rowOff>160020</xdr:rowOff>
    </xdr:to>
    <xdr:graphicFrame macro="">
      <xdr:nvGraphicFramePr>
        <xdr:cNvPr id="2" name="Chart 1">
          <a:extLst>
            <a:ext uri="{FF2B5EF4-FFF2-40B4-BE49-F238E27FC236}">
              <a16:creationId xmlns:a16="http://schemas.microsoft.com/office/drawing/2014/main" id="{63F96C38-580F-4763-B62C-8B0BD3336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1</xdr:row>
      <xdr:rowOff>106680</xdr:rowOff>
    </xdr:from>
    <xdr:to>
      <xdr:col>1</xdr:col>
      <xdr:colOff>228600</xdr:colOff>
      <xdr:row>4</xdr:row>
      <xdr:rowOff>15240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8941C09-B863-4C52-879D-080D647155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0" y="289560"/>
          <a:ext cx="457200"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2</xdr:row>
      <xdr:rowOff>22860</xdr:rowOff>
    </xdr:from>
    <xdr:to>
      <xdr:col>13</xdr:col>
      <xdr:colOff>182880</xdr:colOff>
      <xdr:row>20</xdr:row>
      <xdr:rowOff>114300</xdr:rowOff>
    </xdr:to>
    <xdr:graphicFrame macro="">
      <xdr:nvGraphicFramePr>
        <xdr:cNvPr id="2" name="Chart 1">
          <a:extLst>
            <a:ext uri="{FF2B5EF4-FFF2-40B4-BE49-F238E27FC236}">
              <a16:creationId xmlns:a16="http://schemas.microsoft.com/office/drawing/2014/main" id="{5521BF82-D2BB-4ABE-BBB3-8282C03F5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0.00635</cdr:x>
      <cdr:y>0.01502</cdr:y>
    </cdr:from>
    <cdr:to>
      <cdr:x>0.06349</cdr:x>
      <cdr:y>0.15015</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8941C09-B863-4C52-879D-080D647155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57200" cy="4572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13657405" createdVersion="5" refreshedVersion="8" minRefreshableVersion="3" recordCount="0" supportSubquery="1" supportAdvancedDrill="1" xr:uid="{E0EB7BC1-7B95-4BE2-8914-B52D3EF769F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17592592" createdVersion="5" refreshedVersion="8" minRefreshableVersion="3" recordCount="0" supportSubquery="1" supportAdvancedDrill="1" xr:uid="{57BD9B6C-BAB2-4C9F-825C-F3B3856E4F1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25115743" createdVersion="5" refreshedVersion="8" minRefreshableVersion="3" recordCount="0" supportSubquery="1" supportAdvancedDrill="1" xr:uid="{D9F128CD-6B2D-40A2-B98A-01162DF016E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28703707" createdVersion="5" refreshedVersion="8" minRefreshableVersion="3" recordCount="0" supportSubquery="1" supportAdvancedDrill="1" xr:uid="{9ACE027B-50A8-4DB3-BBE2-06FCB0D96746}">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32754632" createdVersion="5" refreshedVersion="8" minRefreshableVersion="3" recordCount="0" supportSubquery="1" supportAdvancedDrill="1" xr:uid="{EDC6436D-F6AD-4F8A-8904-5170787363F2}">
  <cacheSource type="external" connectionId="3"/>
  <cacheFields count="5">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36574074" createdVersion="5" refreshedVersion="8" minRefreshableVersion="3" recordCount="0" supportSubquery="1" supportAdvancedDrill="1" xr:uid="{DB6FC79D-24F0-44D4-9427-AEBD192CFB9B}">
  <cacheSource type="external" connectionId="3"/>
  <cacheFields count="4">
    <cacheField name="[Measures].[Count of Patient Gender]" caption="Count of Patient Gender" numFmtId="0" hierarchy="30" level="32767"/>
    <cacheField name="[Hospital Emergency Room Data].[Patient Gender].[Patient Gender]" caption="Patient Gender" numFmtId="0" hierarchy="9" level="1">
      <sharedItems count="2">
        <s v="Female"/>
        <s v="Male"/>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40740738" createdVersion="5" refreshedVersion="8" minRefreshableVersion="3" recordCount="0" supportSubquery="1" supportAdvancedDrill="1" xr:uid="{FBFDBEA0-6710-44B1-BA02-EFE243FC42FF}">
  <cacheSource type="external" connectionId="3"/>
  <cacheFields count="4">
    <cacheField name="[Hospital Emergency Room Data].[Age Group].[Age Group]" caption="Age Group" numFmtId="0" hierarchy="16" level="1">
      <sharedItems count="8">
        <s v="0-9"/>
        <s v="10-19"/>
        <s v="20-29"/>
        <s v="30-39"/>
        <s v="40-49"/>
        <s v="50-59"/>
        <s v="60-69"/>
        <s v="70-79"/>
      </sharedItems>
    </cacheField>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44328702" createdVersion="5" refreshedVersion="8" minRefreshableVersion="3" recordCount="0" supportSubquery="1" supportAdvancedDrill="1" xr:uid="{1270634C-61C3-4B94-92E6-5417E704B37A}">
  <cacheSource type="external" connectionId="3"/>
  <cacheFields count="4">
    <cacheField name="[Hospital Emergency Room Data].[Wait Time].[Wait Time]" caption="Wait Time" numFmtId="0" hierarchy="17" level="1">
      <sharedItems count="2">
        <s v="Delayed"/>
        <s v="On Time"/>
      </sharedItems>
    </cacheField>
    <cacheField name="[Measures].[Count of Wait Time]" caption="Count of Wait Tim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47685188" createdVersion="5" refreshedVersion="8" minRefreshableVersion="3" recordCount="0" supportSubquery="1" supportAdvancedDrill="1" xr:uid="{96CFE5C4-23DA-4EB2-B420-FEBA5250D345}">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51967592" createdVersion="5" refreshedVersion="8" minRefreshableVersion="3" recordCount="0" supportSubquery="1" supportAdvancedDrill="1" xr:uid="{7D6D0735-72C9-493D-89A4-2BB67AB81D5D}">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56481479" createdVersion="5" refreshedVersion="8" minRefreshableVersion="3" recordCount="0" supportSubquery="1" supportAdvancedDrill="1" xr:uid="{241099B3-ED2D-41CB-AFE8-34C6BA60B649}">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89060995367" createdVersion="5" refreshedVersion="8" minRefreshableVersion="3" recordCount="0" supportSubquery="1" supportAdvancedDrill="1" xr:uid="{FB8F91B5-B502-4445-BC2C-8461BA661FA3}">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684557060187" createdVersion="3" refreshedVersion="8" minRefreshableVersion="3" recordCount="0" supportSubquery="1" supportAdvancedDrill="1" xr:uid="{74B2C26C-932D-4733-AB08-81439EEFB8F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caption="Wait Time" attribute="1" defaultMemberUniqueName="[Hospital Emergency Room Data].[Wait Time].[All]" allUniqueName="[Hospital Emergency Room Data].[Wait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caption="Count of Wait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984863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FC540-E6E6-4A7F-BFEF-02EAD67E849B}" name="PivotTable5" cacheId="5" applyNumberFormats="0" applyBorderFormats="0" applyFontFormats="0" applyPatternFormats="0" applyAlignmentFormats="0" applyWidthHeightFormats="1" dataCaption="Values" tag="72e027d5-4fa5-4797-9e93-33e7babd59c4" updatedVersion="8" minRefreshableVersion="3" subtotalHiddenItems="1" itemPrintTitles="1" createdVersion="5" indent="0" outline="1" outlineData="1" multipleFieldFilters="0" chartFormat="5">
  <location ref="A19:B22"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3">
    <format dxfId="2">
      <pivotArea outline="0" collapsedLevelsAreSubtotals="1" fieldPosition="0"/>
    </format>
    <format dxfId="1">
      <pivotArea collapsedLevelsAreSubtotals="1" fieldPosition="0">
        <references count="1">
          <reference field="1" count="0"/>
        </references>
      </pivotArea>
    </format>
    <format dxfId="0">
      <pivotArea grandRow="1"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3A32F-C6A2-427A-AF74-4B05C44707B6}" name="PivotTable2" cacheId="2" applyNumberFormats="0" applyBorderFormats="0" applyFontFormats="0" applyPatternFormats="0" applyAlignmentFormats="0" applyWidthHeightFormats="1" dataCaption="Values" tag="537dc929-11f6-489a-95d1-3e368cfe1e71"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52A43-C875-439C-8E91-2F43B5EAEDB8}" name="PivotTable12" cacheId="11" applyNumberFormats="0" applyBorderFormats="0" applyFontFormats="0" applyPatternFormats="0" applyAlignmentFormats="0" applyWidthHeightFormats="1" dataCaption="Values" tag="e9c32b54-6f72-4809-91c2-a8cee6858295" updatedVersion="8" minRefreshableVersion="3" subtotalHiddenItems="1" itemPrintTitles="1" createdVersion="5" indent="0" outline="1" outlineData="1" multipleFieldFilters="0" chartFormat="4">
  <location ref="A57:A5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EB095-CF6F-475E-BC6D-E0298294C0E8}" name="PivotTable10" cacheId="9" applyNumberFormats="0" applyBorderFormats="0" applyFontFormats="0" applyPatternFormats="0" applyAlignmentFormats="0" applyWidthHeightFormats="1" dataCaption="Values" tag="31648cbf-cd55-4e8d-9aa9-87e56c95d8d2" updatedVersion="8" minRefreshableVersion="3" subtotalHiddenItems="1" itemPrintTitles="1" createdVersion="5" indent="0" outline="1" outlineData="1" multipleFieldFilters="0" chartFormat="25">
  <location ref="O4:P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5">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78984A-6BFA-4FEB-BF44-B097B0299601}" name="PivotTable3" cacheId="3" applyNumberFormats="0" applyBorderFormats="0" applyFontFormats="0" applyPatternFormats="0" applyAlignmentFormats="0" applyWidthHeightFormats="1" dataCaption="Values" tag="21c144b2-ca63-4deb-a514-d1d5b74e7037"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3CA46C-56C9-4E5C-9F82-727C4A7117BE}" name="PivotTable7" cacheId="7" applyNumberFormats="0" applyBorderFormats="0" applyFontFormats="0" applyPatternFormats="0" applyAlignmentFormats="0" applyWidthHeightFormats="1" dataCaption="Values" tag="ec75a64f-5b6b-4349-8a1d-2846a7031827" updatedVersion="8" minRefreshableVersion="3" subtotalHiddenItems="1" itemPrintTitles="1" createdVersion="5" indent="0" outline="1" outlineData="1" multipleFieldFilters="0" chartFormat="5">
  <location ref="A35:B3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Wait Time" fld="1" subtotal="count" baseField="0" baseItem="0"/>
  </dataFields>
  <formats count="3">
    <format dxfId="9">
      <pivotArea outline="0" collapsedLevelsAreSubtotals="1" fieldPosition="0"/>
    </format>
    <format dxfId="8">
      <pivotArea collapsedLevelsAreSubtotals="1" fieldPosition="0">
        <references count="1">
          <reference field="0" count="0"/>
        </references>
      </pivotArea>
    </format>
    <format dxfId="7">
      <pivotArea grandRow="1"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D544DD-1236-48D5-A090-AED2AD8A4E2E}" name="PivotTable1" cacheId="1" applyNumberFormats="0" applyBorderFormats="0" applyFontFormats="0" applyPatternFormats="0" applyAlignmentFormats="0" applyWidthHeightFormats="1" dataCaption="Values" tag="570baece-0bc7-402b-9118-5a0ef382cd5b"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D795A0-9CEC-436B-B46E-75B186DAB14B}" name="PivotTable9" cacheId="8" applyNumberFormats="0" applyBorderFormats="0" applyFontFormats="0" applyPatternFormats="0" applyAlignmentFormats="0" applyWidthHeightFormats="1" dataCaption="Values" tag="1333bc32-66fb-4c6a-aa71-1f5a856095ac" updatedVersion="8" minRefreshableVersion="3" subtotalHiddenItems="1" itemPrintTitles="1" createdVersion="5" indent="0" outline="1" outlineData="1" multipleFieldFilters="0" chartFormat="4">
  <location ref="A40:B49"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3"/>
    </i>
    <i>
      <x/>
    </i>
    <i>
      <x v="1"/>
    </i>
    <i>
      <x v="6"/>
    </i>
    <i>
      <x v="5"/>
    </i>
    <i>
      <x v="2"/>
    </i>
    <i>
      <x v="4"/>
    </i>
    <i t="grand">
      <x/>
    </i>
  </rowItems>
  <colItems count="1">
    <i/>
  </colItems>
  <dataFields count="1">
    <dataField name="Count of Department Referral" fld="1" subtotal="count" baseField="0" baseItem="0"/>
  </dataFields>
  <formats count="2">
    <format dxfId="11">
      <pivotArea outline="0" collapsedLevelsAreSubtotals="1" fieldPosition="0"/>
    </format>
    <format dxfId="10">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3AB43-2E2B-48E1-861E-BDE191DC66AD}" name="PivotTable11" cacheId="10" applyNumberFormats="0" applyBorderFormats="0" applyFontFormats="0" applyPatternFormats="0" applyAlignmentFormats="0" applyWidthHeightFormats="1" dataCaption="Values" tag="5e01d685-0ca1-49b9-aecb-d43b93846435" updatedVersion="8" minRefreshableVersion="3" subtotalHiddenItems="1" itemPrintTitles="1" createdVersion="5" indent="0" outline="1" outlineData="1" multipleFieldFilters="0" chartFormat="30">
  <location ref="R3:S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7D05BA-C081-45A3-809C-E555A2F1E4D5}" name="PivotTable4" cacheId="4" applyNumberFormats="0" applyBorderFormats="0" applyFontFormats="0" applyPatternFormats="0" applyAlignmentFormats="0" applyWidthHeightFormats="1" dataCaption="Values" tag="ddc66dc4-7a9a-4fa3-9d98-3d512d3eca45" updatedVersion="8" minRefreshableVersion="3" subtotalHiddenItems="1" itemPrintTitles="1" createdVersion="5" indent="0" outline="1" outlineData="1" multipleFieldFilters="0" chartFormat="6">
  <location ref="A14:C17"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4">
    <format dxfId="16">
      <pivotArea outline="0" collapsedLevelsAreSubtotals="1" fieldPosition="0"/>
    </format>
    <format dxfId="15">
      <pivotArea collapsedLevelsAreSubtotals="1" fieldPosition="0">
        <references count="1">
          <reference field="1" count="0"/>
        </references>
      </pivotArea>
    </format>
    <format dxfId="14">
      <pivotArea grandRow="1" outline="0" collapsedLevelsAreSubtotals="1" fieldPosition="0"/>
    </format>
    <format dxfId="13">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C96731-2AE8-4A15-9E45-2277BB5C47B1}" name="PivotTable6" cacheId="6" applyNumberFormats="0" applyBorderFormats="0" applyFontFormats="0" applyPatternFormats="0" applyAlignmentFormats="0" applyWidthHeightFormats="1" dataCaption="Values" tag="2db8e44b-aabc-4b95-b5d0-bd46c8716505" updatedVersion="8" minRefreshableVersion="3" subtotalHiddenItems="1" itemPrintTitles="1" createdVersion="5" indent="0" outline="1" outlineData="1" multipleFieldFilters="0" chartFormat="3">
  <location ref="A24:B3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2" subtotal="count" baseField="0" baseItem="0"/>
  </dataFields>
  <formats count="2">
    <format dxfId="18">
      <pivotArea outline="0" collapsedLevelsAreSubtotals="1" fieldPosition="0"/>
    </format>
    <format dxfId="17">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3D380F-0F79-4895-B6FF-D6FD6B5E0FDB}" name="PivotTable8" cacheId="0" applyNumberFormats="0" applyBorderFormats="0" applyFontFormats="0" applyPatternFormats="0" applyAlignmentFormats="0" applyWidthHeightFormats="1" dataCaption="Values" tag="fb82d204-9725-49a7-8f52-b23edcb06271" updatedVersion="8" minRefreshableVersion="3" subtotalHiddenItems="1" itemPrintTitles="1" createdVersion="5" indent="0" outline="1" outlineData="1" multipleFieldFilters="0" chartFormat="19">
  <location ref="L4:M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11"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CA258F7-6324-429F-8260-4311ED21866F}" sourceName="[Calendar_table].[Date (Month)]">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 tabId="1" name="PivotTable10"/>
    <pivotTable tabId="1" name="PivotTable11"/>
    <pivotTable tabId="1" name="PivotTable12"/>
  </pivotTables>
  <data>
    <olap pivotCacheId="99848639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E584A43-581D-4189-AA18-5B92A9609266}"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9848639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21EACB8-4660-4BEB-AC77-FFBB9B55EB86}" cache="Slicer_Date__Month" caption="Date (Month)" showCaption="0" level="1" style="SlicerStyleLight1 2" rowHeight="247650"/>
  <slicer name="Date (Year)" xr10:uid="{67516C67-CA5B-4F1A-9820-59741C5C1390}" cache="Slicer_Date__Year" caption="Date (Year)" showCaption="0" level="1" style="SlicerStyleLight1 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A103-975B-4B6F-8689-D13135867A15}">
  <dimension ref="A3:S59"/>
  <sheetViews>
    <sheetView topLeftCell="A36" workbookViewId="0">
      <selection activeCell="A48" sqref="A47:B48"/>
      <pivotSelection pane="bottomRight" showHeader="1" extendable="1" axis="axisRow" start="7" max="9" activeRow="47" previousRow="46" click="1" r:id="rId8">
        <pivotArea dataOnly="0" axis="axisRow" fieldPosition="0">
          <references count="1">
            <reference field="0" count="2">
              <x v="2"/>
              <x v="4"/>
            </reference>
          </references>
        </pivotArea>
      </pivotSelection>
    </sheetView>
  </sheetViews>
  <sheetFormatPr defaultRowHeight="14.4" x14ac:dyDescent="0.3"/>
  <cols>
    <col min="1" max="1" width="15.21875" customWidth="1"/>
    <col min="2" max="2" width="13.6640625" customWidth="1"/>
    <col min="3" max="3" width="10.6640625" customWidth="1"/>
    <col min="4" max="4" width="17.77734375" customWidth="1"/>
    <col min="12" max="12" width="16.33203125" customWidth="1"/>
    <col min="13" max="13" width="23.33203125" bestFit="1" customWidth="1"/>
    <col min="15" max="15" width="12.44140625" bestFit="1" customWidth="1"/>
    <col min="16" max="16" width="23.33203125" bestFit="1" customWidth="1"/>
  </cols>
  <sheetData>
    <row r="3" spans="1:19" x14ac:dyDescent="0.3">
      <c r="R3" s="1" t="s">
        <v>4</v>
      </c>
      <c r="S3" t="s">
        <v>2</v>
      </c>
    </row>
    <row r="4" spans="1:19" x14ac:dyDescent="0.3">
      <c r="A4" t="s">
        <v>0</v>
      </c>
      <c r="L4" s="1" t="s">
        <v>4</v>
      </c>
      <c r="M4" t="s">
        <v>0</v>
      </c>
      <c r="O4" s="1" t="s">
        <v>4</v>
      </c>
      <c r="P4" t="s">
        <v>1</v>
      </c>
      <c r="R4" s="3" t="s">
        <v>37</v>
      </c>
      <c r="S4" s="2">
        <v>5.5</v>
      </c>
    </row>
    <row r="5" spans="1:19" x14ac:dyDescent="0.3">
      <c r="A5">
        <v>480</v>
      </c>
      <c r="L5" s="3" t="s">
        <v>37</v>
      </c>
      <c r="M5">
        <v>20</v>
      </c>
      <c r="O5" s="3" t="s">
        <v>37</v>
      </c>
      <c r="P5" s="2">
        <v>31.5</v>
      </c>
      <c r="R5" s="3" t="s">
        <v>38</v>
      </c>
      <c r="S5" s="2">
        <v>3.3333333333333335</v>
      </c>
    </row>
    <row r="6" spans="1:19" x14ac:dyDescent="0.3">
      <c r="L6" s="3" t="s">
        <v>38</v>
      </c>
      <c r="M6">
        <v>16</v>
      </c>
      <c r="O6" s="3" t="s">
        <v>38</v>
      </c>
      <c r="P6" s="2">
        <v>34.25</v>
      </c>
      <c r="R6" s="3" t="s">
        <v>39</v>
      </c>
      <c r="S6" s="2">
        <v>6</v>
      </c>
    </row>
    <row r="7" spans="1:19" x14ac:dyDescent="0.3">
      <c r="L7" s="3" t="s">
        <v>39</v>
      </c>
      <c r="M7">
        <v>20</v>
      </c>
      <c r="O7" s="3" t="s">
        <v>39</v>
      </c>
      <c r="P7" s="2">
        <v>41.1</v>
      </c>
      <c r="R7" s="3" t="s">
        <v>40</v>
      </c>
      <c r="S7" s="2">
        <v>4.8</v>
      </c>
    </row>
    <row r="8" spans="1:19" x14ac:dyDescent="0.3">
      <c r="A8" t="s">
        <v>1</v>
      </c>
      <c r="L8" s="3" t="s">
        <v>40</v>
      </c>
      <c r="M8">
        <v>16</v>
      </c>
      <c r="O8" s="3" t="s">
        <v>40</v>
      </c>
      <c r="P8" s="2">
        <v>31</v>
      </c>
      <c r="R8" s="3" t="s">
        <v>41</v>
      </c>
      <c r="S8" s="2">
        <v>5.5</v>
      </c>
    </row>
    <row r="9" spans="1:19" x14ac:dyDescent="0.3">
      <c r="A9" s="2">
        <v>34.429166666666667</v>
      </c>
      <c r="L9" s="3" t="s">
        <v>41</v>
      </c>
      <c r="M9">
        <v>18</v>
      </c>
      <c r="O9" s="3" t="s">
        <v>41</v>
      </c>
      <c r="P9" s="2">
        <v>33.666666666666664</v>
      </c>
      <c r="R9" s="3" t="s">
        <v>42</v>
      </c>
      <c r="S9" s="2">
        <v>5.25</v>
      </c>
    </row>
    <row r="10" spans="1:19" x14ac:dyDescent="0.3">
      <c r="L10" s="3" t="s">
        <v>42</v>
      </c>
      <c r="M10">
        <v>16</v>
      </c>
      <c r="O10" s="3" t="s">
        <v>42</v>
      </c>
      <c r="P10" s="2">
        <v>34.5625</v>
      </c>
      <c r="R10" s="3" t="s">
        <v>43</v>
      </c>
      <c r="S10" s="2">
        <v>4.8</v>
      </c>
    </row>
    <row r="11" spans="1:19" x14ac:dyDescent="0.3">
      <c r="A11" t="s">
        <v>2</v>
      </c>
      <c r="L11" s="3" t="s">
        <v>43</v>
      </c>
      <c r="M11">
        <v>15</v>
      </c>
      <c r="O11" s="3" t="s">
        <v>43</v>
      </c>
      <c r="P11" s="2">
        <v>34.93333333333333</v>
      </c>
      <c r="R11" s="3" t="s">
        <v>44</v>
      </c>
      <c r="S11" s="2">
        <v>4.5</v>
      </c>
    </row>
    <row r="12" spans="1:19" x14ac:dyDescent="0.3">
      <c r="A12" s="2">
        <v>5.1640625</v>
      </c>
      <c r="L12" s="3" t="s">
        <v>44</v>
      </c>
      <c r="M12">
        <v>20</v>
      </c>
      <c r="O12" s="3" t="s">
        <v>44</v>
      </c>
      <c r="P12" s="2">
        <v>36.4</v>
      </c>
      <c r="R12" s="3" t="s">
        <v>45</v>
      </c>
      <c r="S12" s="2">
        <v>5</v>
      </c>
    </row>
    <row r="13" spans="1:19" x14ac:dyDescent="0.3">
      <c r="L13" s="3" t="s">
        <v>45</v>
      </c>
      <c r="M13">
        <v>20</v>
      </c>
      <c r="O13" s="3" t="s">
        <v>45</v>
      </c>
      <c r="P13" s="2">
        <v>35.549999999999997</v>
      </c>
      <c r="R13" s="3" t="s">
        <v>46</v>
      </c>
      <c r="S13" s="2">
        <v>5.333333333333333</v>
      </c>
    </row>
    <row r="14" spans="1:19" x14ac:dyDescent="0.3">
      <c r="A14" s="1" t="s">
        <v>4</v>
      </c>
      <c r="B14" t="s">
        <v>3</v>
      </c>
      <c r="C14" t="s">
        <v>33</v>
      </c>
      <c r="L14" s="3" t="s">
        <v>46</v>
      </c>
      <c r="M14">
        <v>13</v>
      </c>
      <c r="O14" s="3" t="s">
        <v>46</v>
      </c>
      <c r="P14" s="2">
        <v>30.692307692307693</v>
      </c>
      <c r="R14" s="3" t="s">
        <v>47</v>
      </c>
      <c r="S14" s="2">
        <v>4.4000000000000004</v>
      </c>
    </row>
    <row r="15" spans="1:19" x14ac:dyDescent="0.3">
      <c r="A15" s="3" t="s">
        <v>5</v>
      </c>
      <c r="B15" s="4">
        <v>229</v>
      </c>
      <c r="C15" s="6">
        <v>0.47708333333333336</v>
      </c>
      <c r="L15" s="3" t="s">
        <v>47</v>
      </c>
      <c r="M15">
        <v>18</v>
      </c>
      <c r="O15" s="3" t="s">
        <v>47</v>
      </c>
      <c r="P15" s="2">
        <v>33.611111111111114</v>
      </c>
      <c r="R15" s="3" t="s">
        <v>48</v>
      </c>
      <c r="S15" s="2">
        <v>3.25</v>
      </c>
    </row>
    <row r="16" spans="1:19" x14ac:dyDescent="0.3">
      <c r="A16" s="3" t="s">
        <v>6</v>
      </c>
      <c r="B16" s="4">
        <v>251</v>
      </c>
      <c r="C16" s="6">
        <v>0.5229166666666667</v>
      </c>
      <c r="L16" s="3" t="s">
        <v>48</v>
      </c>
      <c r="M16">
        <v>11</v>
      </c>
      <c r="O16" s="3" t="s">
        <v>48</v>
      </c>
      <c r="P16" s="2">
        <v>37.81818181818182</v>
      </c>
      <c r="R16" s="3" t="s">
        <v>49</v>
      </c>
      <c r="S16" s="2">
        <v>6</v>
      </c>
    </row>
    <row r="17" spans="1:19" x14ac:dyDescent="0.3">
      <c r="A17" s="3" t="s">
        <v>7</v>
      </c>
      <c r="B17" s="4">
        <v>480</v>
      </c>
      <c r="C17" s="6">
        <v>1</v>
      </c>
      <c r="L17" s="3" t="s">
        <v>49</v>
      </c>
      <c r="M17">
        <v>13</v>
      </c>
      <c r="O17" s="3" t="s">
        <v>49</v>
      </c>
      <c r="P17" s="2">
        <v>40</v>
      </c>
      <c r="R17" s="3" t="s">
        <v>50</v>
      </c>
      <c r="S17" s="2">
        <v>3.3333333333333335</v>
      </c>
    </row>
    <row r="18" spans="1:19" x14ac:dyDescent="0.3">
      <c r="L18" s="3" t="s">
        <v>50</v>
      </c>
      <c r="M18">
        <v>14</v>
      </c>
      <c r="O18" s="3" t="s">
        <v>50</v>
      </c>
      <c r="P18" s="2">
        <v>32</v>
      </c>
      <c r="R18" s="3" t="s">
        <v>52</v>
      </c>
      <c r="S18" s="2">
        <v>6.7</v>
      </c>
    </row>
    <row r="19" spans="1:19" x14ac:dyDescent="0.3">
      <c r="A19" s="1" t="s">
        <v>4</v>
      </c>
      <c r="B19" t="s">
        <v>8</v>
      </c>
      <c r="L19" s="3" t="s">
        <v>51</v>
      </c>
      <c r="M19">
        <v>7</v>
      </c>
      <c r="O19" s="3" t="s">
        <v>51</v>
      </c>
      <c r="P19" s="2">
        <v>31.857142857142858</v>
      </c>
      <c r="R19" s="3" t="s">
        <v>53</v>
      </c>
      <c r="S19" s="2">
        <v>7.75</v>
      </c>
    </row>
    <row r="20" spans="1:19" x14ac:dyDescent="0.3">
      <c r="A20" s="3" t="s">
        <v>9</v>
      </c>
      <c r="B20" s="4">
        <v>261</v>
      </c>
      <c r="L20" s="3" t="s">
        <v>52</v>
      </c>
      <c r="M20">
        <v>21</v>
      </c>
      <c r="O20" s="3" t="s">
        <v>52</v>
      </c>
      <c r="P20" s="2">
        <v>31.142857142857142</v>
      </c>
      <c r="R20" s="3" t="s">
        <v>54</v>
      </c>
      <c r="S20" s="2">
        <v>5.5</v>
      </c>
    </row>
    <row r="21" spans="1:19" x14ac:dyDescent="0.3">
      <c r="A21" s="3" t="s">
        <v>10</v>
      </c>
      <c r="B21" s="4">
        <v>219</v>
      </c>
      <c r="L21" s="3" t="s">
        <v>53</v>
      </c>
      <c r="M21">
        <v>16</v>
      </c>
      <c r="O21" s="3" t="s">
        <v>53</v>
      </c>
      <c r="P21" s="2">
        <v>29.5</v>
      </c>
      <c r="R21" s="3" t="s">
        <v>55</v>
      </c>
      <c r="S21" s="2">
        <v>4.5</v>
      </c>
    </row>
    <row r="22" spans="1:19" x14ac:dyDescent="0.3">
      <c r="A22" s="3" t="s">
        <v>7</v>
      </c>
      <c r="B22" s="4">
        <v>480</v>
      </c>
      <c r="L22" s="3" t="s">
        <v>54</v>
      </c>
      <c r="M22">
        <v>15</v>
      </c>
      <c r="O22" s="3" t="s">
        <v>54</v>
      </c>
      <c r="P22" s="2">
        <v>30.666666666666668</v>
      </c>
      <c r="R22" s="3" t="s">
        <v>56</v>
      </c>
      <c r="S22" s="2">
        <v>6</v>
      </c>
    </row>
    <row r="23" spans="1:19" x14ac:dyDescent="0.3">
      <c r="L23" s="3" t="s">
        <v>55</v>
      </c>
      <c r="M23">
        <v>15</v>
      </c>
      <c r="O23" s="3" t="s">
        <v>55</v>
      </c>
      <c r="P23" s="2">
        <v>39.06666666666667</v>
      </c>
      <c r="R23" s="3" t="s">
        <v>57</v>
      </c>
      <c r="S23" s="2">
        <v>5.75</v>
      </c>
    </row>
    <row r="24" spans="1:19" x14ac:dyDescent="0.3">
      <c r="A24" s="1" t="s">
        <v>4</v>
      </c>
      <c r="B24" t="s">
        <v>11</v>
      </c>
      <c r="L24" s="3" t="s">
        <v>56</v>
      </c>
      <c r="M24">
        <v>14</v>
      </c>
      <c r="O24" s="3" t="s">
        <v>56</v>
      </c>
      <c r="P24" s="2">
        <v>32.857142857142854</v>
      </c>
      <c r="R24" s="3" t="s">
        <v>58</v>
      </c>
      <c r="S24" s="2">
        <v>3.1428571428571428</v>
      </c>
    </row>
    <row r="25" spans="1:19" x14ac:dyDescent="0.3">
      <c r="A25" s="3" t="s">
        <v>12</v>
      </c>
      <c r="B25" s="4">
        <v>63</v>
      </c>
      <c r="L25" s="3" t="s">
        <v>57</v>
      </c>
      <c r="M25">
        <v>16</v>
      </c>
      <c r="O25" s="3" t="s">
        <v>57</v>
      </c>
      <c r="P25" s="2">
        <v>38.3125</v>
      </c>
      <c r="R25" s="3" t="s">
        <v>59</v>
      </c>
      <c r="S25" s="2">
        <v>4</v>
      </c>
    </row>
    <row r="26" spans="1:19" x14ac:dyDescent="0.3">
      <c r="A26" s="3" t="s">
        <v>13</v>
      </c>
      <c r="B26" s="4">
        <v>49</v>
      </c>
      <c r="L26" s="3" t="s">
        <v>58</v>
      </c>
      <c r="M26">
        <v>21</v>
      </c>
      <c r="O26" s="3" t="s">
        <v>58</v>
      </c>
      <c r="P26" s="2">
        <v>35.80952380952381</v>
      </c>
      <c r="R26" s="3" t="s">
        <v>60</v>
      </c>
      <c r="S26" s="2">
        <v>6.5</v>
      </c>
    </row>
    <row r="27" spans="1:19" x14ac:dyDescent="0.3">
      <c r="A27" s="3" t="s">
        <v>14</v>
      </c>
      <c r="B27" s="4">
        <v>57</v>
      </c>
      <c r="L27" s="3" t="s">
        <v>59</v>
      </c>
      <c r="M27">
        <v>13</v>
      </c>
      <c r="O27" s="3" t="s">
        <v>59</v>
      </c>
      <c r="P27" s="2">
        <v>33.153846153846153</v>
      </c>
      <c r="R27" s="3" t="s">
        <v>61</v>
      </c>
      <c r="S27" s="2">
        <v>4</v>
      </c>
    </row>
    <row r="28" spans="1:19" x14ac:dyDescent="0.3">
      <c r="A28" s="3" t="s">
        <v>15</v>
      </c>
      <c r="B28" s="4">
        <v>73</v>
      </c>
      <c r="L28" s="3" t="s">
        <v>60</v>
      </c>
      <c r="M28">
        <v>11</v>
      </c>
      <c r="O28" s="3" t="s">
        <v>60</v>
      </c>
      <c r="P28" s="2">
        <v>39.18181818181818</v>
      </c>
      <c r="R28" s="3" t="s">
        <v>62</v>
      </c>
      <c r="S28" s="2">
        <v>7.333333333333333</v>
      </c>
    </row>
    <row r="29" spans="1:19" x14ac:dyDescent="0.3">
      <c r="A29" s="3" t="s">
        <v>16</v>
      </c>
      <c r="B29" s="4">
        <v>63</v>
      </c>
      <c r="L29" s="3" t="s">
        <v>61</v>
      </c>
      <c r="M29">
        <v>16</v>
      </c>
      <c r="O29" s="3" t="s">
        <v>61</v>
      </c>
      <c r="P29" s="2">
        <v>36.3125</v>
      </c>
      <c r="R29" s="3" t="s">
        <v>63</v>
      </c>
      <c r="S29" s="2">
        <v>5.333333333333333</v>
      </c>
    </row>
    <row r="30" spans="1:19" x14ac:dyDescent="0.3">
      <c r="A30" s="3" t="s">
        <v>17</v>
      </c>
      <c r="B30" s="4">
        <v>60</v>
      </c>
      <c r="L30" s="3" t="s">
        <v>62</v>
      </c>
      <c r="M30">
        <v>11</v>
      </c>
      <c r="O30" s="3" t="s">
        <v>62</v>
      </c>
      <c r="P30" s="2">
        <v>33</v>
      </c>
      <c r="R30" s="3" t="s">
        <v>64</v>
      </c>
      <c r="S30" s="2">
        <v>4.75</v>
      </c>
    </row>
    <row r="31" spans="1:19" x14ac:dyDescent="0.3">
      <c r="A31" s="3" t="s">
        <v>18</v>
      </c>
      <c r="B31" s="4">
        <v>57</v>
      </c>
      <c r="L31" s="3" t="s">
        <v>63</v>
      </c>
      <c r="M31">
        <v>14</v>
      </c>
      <c r="O31" s="3" t="s">
        <v>63</v>
      </c>
      <c r="P31" s="2">
        <v>32.857142857142854</v>
      </c>
      <c r="R31" s="3" t="s">
        <v>65</v>
      </c>
      <c r="S31" s="2">
        <v>4</v>
      </c>
    </row>
    <row r="32" spans="1:19" x14ac:dyDescent="0.3">
      <c r="A32" s="3" t="s">
        <v>19</v>
      </c>
      <c r="B32" s="4">
        <v>58</v>
      </c>
      <c r="L32" s="3" t="s">
        <v>64</v>
      </c>
      <c r="M32">
        <v>10</v>
      </c>
      <c r="O32" s="3" t="s">
        <v>64</v>
      </c>
      <c r="P32" s="2">
        <v>36.799999999999997</v>
      </c>
      <c r="R32" s="3" t="s">
        <v>66</v>
      </c>
      <c r="S32" s="2">
        <v>4</v>
      </c>
    </row>
    <row r="33" spans="1:19" x14ac:dyDescent="0.3">
      <c r="A33" s="3" t="s">
        <v>7</v>
      </c>
      <c r="B33" s="2">
        <v>480</v>
      </c>
      <c r="L33" s="3" t="s">
        <v>65</v>
      </c>
      <c r="M33">
        <v>15</v>
      </c>
      <c r="O33" s="3" t="s">
        <v>65</v>
      </c>
      <c r="P33" s="2">
        <v>32.866666666666667</v>
      </c>
      <c r="R33" s="3" t="s">
        <v>67</v>
      </c>
      <c r="S33" s="2">
        <v>8.3333333333333339</v>
      </c>
    </row>
    <row r="34" spans="1:19" x14ac:dyDescent="0.3">
      <c r="L34" s="3" t="s">
        <v>66</v>
      </c>
      <c r="M34">
        <v>24</v>
      </c>
      <c r="O34" s="3" t="s">
        <v>66</v>
      </c>
      <c r="P34" s="2">
        <v>32.375</v>
      </c>
      <c r="R34" s="3" t="s">
        <v>7</v>
      </c>
      <c r="S34" s="2">
        <v>5.1640625</v>
      </c>
    </row>
    <row r="35" spans="1:19" x14ac:dyDescent="0.3">
      <c r="A35" s="1" t="s">
        <v>4</v>
      </c>
      <c r="B35" t="s">
        <v>22</v>
      </c>
      <c r="L35" s="3" t="s">
        <v>67</v>
      </c>
      <c r="M35">
        <v>11</v>
      </c>
      <c r="O35" s="3" t="s">
        <v>67</v>
      </c>
      <c r="P35" s="2">
        <v>36</v>
      </c>
    </row>
    <row r="36" spans="1:19" x14ac:dyDescent="0.3">
      <c r="A36" s="3" t="s">
        <v>20</v>
      </c>
      <c r="B36" s="4">
        <v>267</v>
      </c>
      <c r="L36" s="3" t="s">
        <v>7</v>
      </c>
      <c r="M36">
        <v>480</v>
      </c>
      <c r="O36" s="3" t="s">
        <v>7</v>
      </c>
      <c r="P36" s="2">
        <v>34.429166666666667</v>
      </c>
    </row>
    <row r="37" spans="1:19" x14ac:dyDescent="0.3">
      <c r="A37" s="3" t="s">
        <v>21</v>
      </c>
      <c r="B37" s="4">
        <v>213</v>
      </c>
    </row>
    <row r="38" spans="1:19" x14ac:dyDescent="0.3">
      <c r="A38" s="3" t="s">
        <v>7</v>
      </c>
      <c r="B38" s="4">
        <v>480</v>
      </c>
    </row>
    <row r="40" spans="1:19" x14ac:dyDescent="0.3">
      <c r="A40" s="1" t="s">
        <v>4</v>
      </c>
      <c r="B40" t="s">
        <v>32</v>
      </c>
    </row>
    <row r="41" spans="1:19" x14ac:dyDescent="0.3">
      <c r="A41" s="3" t="s">
        <v>31</v>
      </c>
      <c r="B41" s="4">
        <v>6</v>
      </c>
    </row>
    <row r="42" spans="1:19" x14ac:dyDescent="0.3">
      <c r="A42" s="3" t="s">
        <v>27</v>
      </c>
      <c r="B42" s="4">
        <v>11</v>
      </c>
    </row>
    <row r="43" spans="1:19" x14ac:dyDescent="0.3">
      <c r="A43" s="3" t="s">
        <v>24</v>
      </c>
      <c r="B43" s="4">
        <v>12</v>
      </c>
    </row>
    <row r="44" spans="1:19" x14ac:dyDescent="0.3">
      <c r="A44" s="3" t="s">
        <v>25</v>
      </c>
      <c r="B44" s="4">
        <v>12</v>
      </c>
    </row>
    <row r="45" spans="1:19" x14ac:dyDescent="0.3">
      <c r="A45" s="3" t="s">
        <v>30</v>
      </c>
      <c r="B45" s="4">
        <v>20</v>
      </c>
    </row>
    <row r="46" spans="1:19" x14ac:dyDescent="0.3">
      <c r="A46" s="3" t="s">
        <v>29</v>
      </c>
      <c r="B46" s="4">
        <v>35</v>
      </c>
    </row>
    <row r="47" spans="1:19" x14ac:dyDescent="0.3">
      <c r="A47" s="3" t="s">
        <v>26</v>
      </c>
      <c r="B47" s="4">
        <v>93</v>
      </c>
    </row>
    <row r="48" spans="1:19" x14ac:dyDescent="0.3">
      <c r="A48" s="3" t="s">
        <v>28</v>
      </c>
      <c r="B48" s="4">
        <v>291</v>
      </c>
    </row>
    <row r="49" spans="1:7" x14ac:dyDescent="0.3">
      <c r="A49" s="3" t="s">
        <v>7</v>
      </c>
      <c r="B49" s="2">
        <v>480</v>
      </c>
    </row>
    <row r="52" spans="1:7" x14ac:dyDescent="0.3">
      <c r="A52" s="7" t="s">
        <v>34</v>
      </c>
      <c r="B52" s="7" t="s">
        <v>35</v>
      </c>
      <c r="C52" s="7" t="s">
        <v>36</v>
      </c>
      <c r="D52" s="7"/>
      <c r="E52" s="8"/>
      <c r="F52" s="8"/>
      <c r="G52" s="8"/>
    </row>
    <row r="53" spans="1:7" x14ac:dyDescent="0.3">
      <c r="A53" s="9" t="str">
        <f>A16</f>
        <v>Not Admitted</v>
      </c>
      <c r="B53" s="9">
        <f>B16</f>
        <v>251</v>
      </c>
      <c r="C53" s="10">
        <f>C16</f>
        <v>0.5229166666666667</v>
      </c>
    </row>
    <row r="54" spans="1:7" x14ac:dyDescent="0.3">
      <c r="A54" s="9" t="str">
        <f>A15</f>
        <v>Admitted</v>
      </c>
      <c r="B54" s="9">
        <f>B15</f>
        <v>229</v>
      </c>
      <c r="C54" s="10">
        <f>C15</f>
        <v>0.47708333333333336</v>
      </c>
    </row>
    <row r="57" spans="1:7" x14ac:dyDescent="0.3">
      <c r="A57" s="1" t="s">
        <v>4</v>
      </c>
    </row>
    <row r="58" spans="1:7" x14ac:dyDescent="0.3">
      <c r="A58" s="3" t="s">
        <v>23</v>
      </c>
    </row>
    <row r="59" spans="1:7" x14ac:dyDescent="0.3">
      <c r="A59" s="3" t="s">
        <v>7</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BF62-81B4-4D7E-9A61-954AD7D4E97D}">
  <dimension ref="A1:P28"/>
  <sheetViews>
    <sheetView tabSelected="1" zoomScaleNormal="100" workbookViewId="0">
      <selection activeCell="Q12" sqref="Q12"/>
    </sheetView>
  </sheetViews>
  <sheetFormatPr defaultRowHeight="14.4" x14ac:dyDescent="0.3"/>
  <sheetData>
    <row r="1" spans="1:16" x14ac:dyDescent="0.3">
      <c r="A1" s="5"/>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5"/>
      <c r="B5" s="5"/>
      <c r="C5" s="5"/>
      <c r="D5" s="5"/>
      <c r="E5" s="5"/>
      <c r="F5" s="5"/>
      <c r="G5" s="5"/>
      <c r="H5" s="5"/>
      <c r="I5" s="5"/>
      <c r="J5" s="5"/>
      <c r="K5" s="5"/>
      <c r="L5" s="5"/>
      <c r="M5" s="5"/>
      <c r="N5" s="5"/>
      <c r="O5" s="5"/>
      <c r="P5" s="5"/>
    </row>
    <row r="6" spans="1:16" x14ac:dyDescent="0.3">
      <c r="A6" s="5"/>
      <c r="B6" s="5"/>
      <c r="C6" s="5"/>
      <c r="D6" s="5"/>
      <c r="E6" s="5"/>
      <c r="F6" s="5"/>
      <c r="G6" s="5"/>
      <c r="H6" s="5"/>
      <c r="I6" s="5"/>
      <c r="J6" s="5"/>
      <c r="K6" s="5"/>
      <c r="L6" s="5"/>
      <c r="M6" s="5"/>
      <c r="N6" s="5"/>
      <c r="O6" s="5"/>
      <c r="P6" s="5"/>
    </row>
    <row r="7" spans="1:16" x14ac:dyDescent="0.3">
      <c r="A7" s="5"/>
      <c r="B7" s="5"/>
      <c r="C7" s="5"/>
      <c r="D7" s="5"/>
      <c r="E7" s="5"/>
      <c r="F7" s="5"/>
      <c r="G7" s="5"/>
      <c r="H7" s="5"/>
      <c r="I7" s="5"/>
      <c r="J7" s="5"/>
      <c r="K7" s="5"/>
      <c r="L7" s="5"/>
      <c r="M7" s="5"/>
      <c r="N7" s="5"/>
      <c r="O7" s="5"/>
      <c r="P7" s="5"/>
    </row>
    <row r="8" spans="1:16" x14ac:dyDescent="0.3">
      <c r="A8" s="5"/>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c r="B10" s="5"/>
      <c r="C10" s="5"/>
      <c r="D10" s="5"/>
      <c r="E10" s="5"/>
      <c r="F10" s="5"/>
      <c r="G10" s="5"/>
      <c r="H10" s="5"/>
      <c r="I10" s="5"/>
      <c r="J10" s="5"/>
      <c r="K10" s="5"/>
      <c r="L10" s="5"/>
      <c r="M10" s="5"/>
      <c r="N10" s="5"/>
      <c r="O10" s="5"/>
      <c r="P10" s="5"/>
    </row>
    <row r="11" spans="1:16" x14ac:dyDescent="0.3">
      <c r="A11" s="5"/>
      <c r="B11" s="5"/>
      <c r="C11" s="5"/>
      <c r="D11" s="5"/>
      <c r="E11" s="5"/>
      <c r="F11" s="5"/>
      <c r="G11" s="5"/>
      <c r="H11" s="5"/>
      <c r="I11" s="5"/>
      <c r="J11" s="5"/>
      <c r="K11" s="5"/>
      <c r="L11" s="5"/>
      <c r="M11" s="5"/>
      <c r="N11" s="5"/>
      <c r="O11" s="5"/>
      <c r="P11" s="5"/>
    </row>
    <row r="12" spans="1:16" x14ac:dyDescent="0.3">
      <c r="A12" s="5"/>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c r="B18" s="5"/>
      <c r="C18" s="5"/>
      <c r="D18" s="5"/>
      <c r="E18" s="5"/>
      <c r="F18" s="5"/>
      <c r="G18" s="5"/>
      <c r="H18" s="5"/>
      <c r="I18" s="5"/>
      <c r="J18" s="5"/>
      <c r="K18" s="5"/>
      <c r="L18" s="5"/>
      <c r="M18" s="5"/>
      <c r="N18" s="5"/>
      <c r="O18" s="5"/>
      <c r="P18" s="5"/>
    </row>
    <row r="19" spans="1:16" x14ac:dyDescent="0.3">
      <c r="A19" s="5"/>
      <c r="B19" s="5"/>
      <c r="C19" s="5"/>
      <c r="D19" s="5"/>
      <c r="E19" s="5"/>
      <c r="F19" s="5"/>
      <c r="G19" s="5"/>
      <c r="H19" s="5"/>
      <c r="I19" s="5"/>
      <c r="J19" s="5"/>
      <c r="K19" s="5"/>
      <c r="L19" s="5"/>
      <c r="M19" s="5"/>
      <c r="N19" s="5"/>
      <c r="O19" s="5"/>
      <c r="P19" s="5"/>
    </row>
    <row r="20" spans="1:16" x14ac:dyDescent="0.3">
      <c r="A20" s="5"/>
      <c r="B20" s="5"/>
      <c r="C20" s="5"/>
      <c r="D20" s="5"/>
      <c r="E20" s="5"/>
      <c r="F20" s="5"/>
      <c r="G20" s="5"/>
      <c r="H20" s="5"/>
      <c r="I20" s="5"/>
      <c r="J20" s="5"/>
      <c r="K20" s="5"/>
      <c r="L20" s="5"/>
      <c r="M20" s="5"/>
      <c r="N20" s="5"/>
      <c r="O20" s="5"/>
      <c r="P20" s="5"/>
    </row>
    <row r="21" spans="1:16" x14ac:dyDescent="0.3">
      <c r="A21" s="5"/>
      <c r="B21" s="5"/>
      <c r="C21" s="5"/>
      <c r="D21" s="5"/>
      <c r="E21" s="5"/>
      <c r="F21" s="5"/>
      <c r="G21" s="5"/>
      <c r="H21" s="5"/>
      <c r="I21" s="5"/>
      <c r="J21" s="5"/>
      <c r="K21" s="5"/>
      <c r="L21" s="5"/>
      <c r="M21" s="5"/>
      <c r="N21" s="5"/>
      <c r="O21" s="5"/>
      <c r="P21" s="5"/>
    </row>
    <row r="22" spans="1:16" x14ac:dyDescent="0.3">
      <c r="A22" s="5"/>
      <c r="B22" s="5"/>
      <c r="C22" s="5"/>
      <c r="D22" s="5"/>
      <c r="E22" s="5"/>
      <c r="F22" s="5"/>
      <c r="G22" s="5"/>
      <c r="H22" s="5"/>
      <c r="I22" s="5"/>
      <c r="J22" s="5"/>
      <c r="K22" s="5"/>
      <c r="L22" s="5"/>
      <c r="M22" s="5"/>
      <c r="N22" s="5"/>
      <c r="O22" s="5"/>
      <c r="P22" s="5"/>
    </row>
    <row r="23" spans="1:16" x14ac:dyDescent="0.3">
      <c r="A23" s="5"/>
      <c r="B23" s="5"/>
      <c r="C23" s="5"/>
      <c r="D23" s="5"/>
      <c r="E23" s="5"/>
      <c r="F23" s="5"/>
      <c r="G23" s="5"/>
      <c r="H23" s="5"/>
      <c r="I23" s="5"/>
      <c r="J23" s="5"/>
      <c r="K23" s="5"/>
      <c r="L23" s="5"/>
      <c r="M23" s="5"/>
      <c r="N23" s="5"/>
      <c r="O23" s="5"/>
      <c r="P23" s="5"/>
    </row>
    <row r="24" spans="1:16" x14ac:dyDescent="0.3">
      <c r="A24" s="5"/>
      <c r="B24" s="5"/>
      <c r="C24" s="5"/>
      <c r="D24" s="5"/>
      <c r="E24" s="5"/>
      <c r="F24" s="5"/>
      <c r="G24" s="5"/>
      <c r="H24" s="5"/>
      <c r="I24" s="5"/>
      <c r="J24" s="5"/>
      <c r="K24" s="5"/>
      <c r="L24" s="5"/>
      <c r="M24" s="5"/>
      <c r="N24" s="5"/>
      <c r="O24" s="5"/>
      <c r="P24" s="5"/>
    </row>
    <row r="25" spans="1:16" x14ac:dyDescent="0.3">
      <c r="A25" s="5"/>
      <c r="B25" s="5"/>
      <c r="C25" s="5"/>
      <c r="D25" s="5"/>
      <c r="E25" s="5"/>
      <c r="F25" s="5"/>
      <c r="G25" s="5"/>
      <c r="H25" s="5"/>
      <c r="I25" s="5"/>
      <c r="J25" s="5"/>
      <c r="K25" s="5"/>
      <c r="L25" s="5"/>
      <c r="M25" s="5"/>
      <c r="N25" s="5"/>
      <c r="O25" s="5"/>
      <c r="P25" s="5"/>
    </row>
    <row r="26" spans="1:16" x14ac:dyDescent="0.3">
      <c r="A26" s="5"/>
      <c r="B26" s="5"/>
      <c r="C26" s="5"/>
      <c r="D26" s="5"/>
      <c r="E26" s="5"/>
      <c r="F26" s="5"/>
      <c r="G26" s="5"/>
      <c r="H26" s="5"/>
      <c r="I26" s="5"/>
      <c r="J26" s="5"/>
      <c r="K26" s="5"/>
      <c r="L26" s="5"/>
      <c r="M26" s="5"/>
      <c r="N26" s="5"/>
      <c r="O26" s="5"/>
      <c r="P26" s="5"/>
    </row>
    <row r="27" spans="1:16" x14ac:dyDescent="0.3">
      <c r="A27" s="5"/>
      <c r="B27" s="5"/>
      <c r="C27" s="5"/>
      <c r="D27" s="5"/>
      <c r="E27" s="5"/>
      <c r="F27" s="5"/>
      <c r="G27" s="5"/>
      <c r="H27" s="5"/>
      <c r="I27" s="5"/>
      <c r="J27" s="5"/>
      <c r="K27" s="5"/>
      <c r="L27" s="5"/>
      <c r="M27" s="5"/>
      <c r="N27" s="5"/>
      <c r="O27" s="5"/>
      <c r="P27" s="5"/>
    </row>
    <row r="28" spans="1:16" x14ac:dyDescent="0.3">
      <c r="A28" s="5"/>
      <c r="B28" s="5"/>
      <c r="C28" s="5"/>
      <c r="D28" s="5"/>
      <c r="E28" s="5"/>
      <c r="F28" s="5"/>
      <c r="G28" s="5"/>
      <c r="H28" s="5"/>
      <c r="I28" s="5"/>
      <c r="J28" s="5"/>
      <c r="K28" s="5"/>
      <c r="L28" s="5"/>
      <c r="M28" s="5"/>
      <c r="N28" s="5"/>
      <c r="O28" s="5"/>
      <c r="P28"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B554C-053D-489F-8305-EDAB1F6C245A}">
  <dimension ref="A1:L19"/>
  <sheetViews>
    <sheetView workbookViewId="0"/>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row r="19" spans="1:12" x14ac:dyDescent="0.3">
      <c r="A19" s="5"/>
      <c r="B19" s="5"/>
      <c r="C19" s="5"/>
      <c r="D19" s="5"/>
      <c r="E19" s="5"/>
      <c r="F19" s="5"/>
      <c r="G19" s="5"/>
      <c r="H19" s="5"/>
      <c r="I19" s="5"/>
      <c r="J19" s="5"/>
      <c r="K19" s="5"/>
      <c r="L19"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6AC4-282D-4A66-9F09-79CF9A02F60D}">
  <dimension ref="A1:N22"/>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AC45-857D-441E-8243-C5368E110F19}">
  <dimension ref="A1:N23"/>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B41CD27-FE49-42EA-878A-83AF3D28C942}">
  <ds:schemaRefs/>
</ds:datastoreItem>
</file>

<file path=customXml/itemProps2.xml><?xml version="1.0" encoding="utf-8"?>
<ds:datastoreItem xmlns:ds="http://schemas.openxmlformats.org/officeDocument/2006/customXml" ds:itemID="{72EF3470-9225-4479-9072-393744850E28}">
  <ds:schemaRefs/>
</ds:datastoreItem>
</file>

<file path=customXml/itemProps3.xml><?xml version="1.0" encoding="utf-8"?>
<ds:datastoreItem xmlns:ds="http://schemas.openxmlformats.org/officeDocument/2006/customXml" ds:itemID="{28600D76-A96A-49AA-A0E8-0161D7FEEEB6}">
  <ds:schemaRefs/>
</ds:datastoreItem>
</file>

<file path=customXml/itemProps4.xml><?xml version="1.0" encoding="utf-8"?>
<ds:datastoreItem xmlns:ds="http://schemas.openxmlformats.org/officeDocument/2006/customXml" ds:itemID="{A807AAA6-3348-49E6-AC9E-00FCF5395951}">
  <ds:schemaRefs/>
</ds:datastoreItem>
</file>

<file path=customXml/itemProps5.xml><?xml version="1.0" encoding="utf-8"?>
<ds:datastoreItem xmlns:ds="http://schemas.openxmlformats.org/officeDocument/2006/customXml" ds:itemID="{86CC7FF6-D249-495D-B3DE-DC7F7CBCC35C}">
  <ds:schemaRefs/>
</ds:datastoreItem>
</file>

<file path=customXml/itemProps6.xml><?xml version="1.0" encoding="utf-8"?>
<ds:datastoreItem xmlns:ds="http://schemas.openxmlformats.org/officeDocument/2006/customXml" ds:itemID="{6F79C683-CF6F-4EDB-A846-F45CBED9FCFA}">
  <ds:schemaRefs/>
</ds:datastoreItem>
</file>

<file path=customXml/itemProps7.xml><?xml version="1.0" encoding="utf-8"?>
<ds:datastoreItem xmlns:ds="http://schemas.openxmlformats.org/officeDocument/2006/customXml" ds:itemID="{01F1DDC7-881E-4007-869D-2AD296A920B6}">
  <ds:schemaRefs/>
</ds:datastoreItem>
</file>

<file path=customXml/itemProps8.xml><?xml version="1.0" encoding="utf-8"?>
<ds:datastoreItem xmlns:ds="http://schemas.openxmlformats.org/officeDocument/2006/customXml" ds:itemID="{3408077B-A7B9-4DA3-8AB4-BF0EA6C15D47}">
  <ds:schemaRefs/>
</ds:datastoreItem>
</file>

<file path=customXml/itemProps9.xml><?xml version="1.0" encoding="utf-8"?>
<ds:datastoreItem xmlns:ds="http://schemas.openxmlformats.org/officeDocument/2006/customXml" ds:itemID="{39CB3FCB-321C-4A44-B5CB-A29CC52A529F}">
  <ds:schemaRefs/>
</ds:datastoreItem>
</file>

<file path=customXml/itemProps10.xml><?xml version="1.0" encoding="utf-8"?>
<ds:datastoreItem xmlns:ds="http://schemas.openxmlformats.org/officeDocument/2006/customXml" ds:itemID="{193609D3-D826-4730-BD19-71F3FE216E7D}">
  <ds:schemaRefs/>
</ds:datastoreItem>
</file>

<file path=customXml/itemProps11.xml><?xml version="1.0" encoding="utf-8"?>
<ds:datastoreItem xmlns:ds="http://schemas.openxmlformats.org/officeDocument/2006/customXml" ds:itemID="{CF498A62-58E2-4AEF-80A1-9EEE500B9329}">
  <ds:schemaRefs/>
</ds:datastoreItem>
</file>

<file path=customXml/itemProps12.xml><?xml version="1.0" encoding="utf-8"?>
<ds:datastoreItem xmlns:ds="http://schemas.openxmlformats.org/officeDocument/2006/customXml" ds:itemID="{6C6B9CFE-D28A-48CA-8122-2AB827F28C8F}">
  <ds:schemaRefs>
    <ds:schemaRef ds:uri="http://schemas.microsoft.com/DataMashup"/>
  </ds:schemaRefs>
</ds:datastoreItem>
</file>

<file path=customXml/itemProps13.xml><?xml version="1.0" encoding="utf-8"?>
<ds:datastoreItem xmlns:ds="http://schemas.openxmlformats.org/officeDocument/2006/customXml" ds:itemID="{90695124-66B7-4119-B38D-09CFBD2FF878}">
  <ds:schemaRefs/>
</ds:datastoreItem>
</file>

<file path=customXml/itemProps14.xml><?xml version="1.0" encoding="utf-8"?>
<ds:datastoreItem xmlns:ds="http://schemas.openxmlformats.org/officeDocument/2006/customXml" ds:itemID="{DBEF150B-F7AC-4EF5-AD14-8A008917F3C7}">
  <ds:schemaRefs/>
</ds:datastoreItem>
</file>

<file path=customXml/itemProps15.xml><?xml version="1.0" encoding="utf-8"?>
<ds:datastoreItem xmlns:ds="http://schemas.openxmlformats.org/officeDocument/2006/customXml" ds:itemID="{40FF1914-9214-405B-877B-DEBF2010E49C}">
  <ds:schemaRefs/>
</ds:datastoreItem>
</file>

<file path=customXml/itemProps16.xml><?xml version="1.0" encoding="utf-8"?>
<ds:datastoreItem xmlns:ds="http://schemas.openxmlformats.org/officeDocument/2006/customXml" ds:itemID="{DD9F7891-2D18-4F6C-BC36-D20AA39A4063}">
  <ds:schemaRefs/>
</ds:datastoreItem>
</file>

<file path=customXml/itemProps17.xml><?xml version="1.0" encoding="utf-8"?>
<ds:datastoreItem xmlns:ds="http://schemas.openxmlformats.org/officeDocument/2006/customXml" ds:itemID="{F5EC034E-74FA-407E-BB56-E59C42573A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Avg Daily Wait Time</vt:lpstr>
      <vt:lpstr>Avg Daily SAT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Tiwary</dc:creator>
  <cp:lastModifiedBy>Harshit Tiwary</cp:lastModifiedBy>
  <dcterms:created xsi:type="dcterms:W3CDTF">2026-08-11T08:33:30Z</dcterms:created>
  <dcterms:modified xsi:type="dcterms:W3CDTF">2026-08-16T11:01:06Z</dcterms:modified>
</cp:coreProperties>
</file>